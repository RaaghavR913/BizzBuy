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ustomer List" sheetId="1" state="visible" r:id="rId3"/>
    <sheet name="PP&amp;E Schedul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<sst xmlns="http://schemas.openxmlformats.org/spreadsheetml/2006/main" count="148" uniqueCount="103">
  <si>
    <t xml:space="preserve">PeakAir HVAC Services — Customer List (Partial — Top Accounts)</t>
  </si>
  <si>
    <t xml:space="preserve">As of March 2025  |  CONFIDENTIAL — For Qualified Buyers Only  |  Full list released post-LOI</t>
  </si>
  <si>
    <t xml:space="preserve">Customer Name</t>
  </si>
  <si>
    <t xml:space="preserve">Type</t>
  </si>
  <si>
    <t xml:space="preserve">Location</t>
  </si>
  <si>
    <t xml:space="preserve">Service Type</t>
  </si>
  <si>
    <t xml:space="preserve">Relationship Since</t>
  </si>
  <si>
    <t xml:space="preserve">2024 Revenue</t>
  </si>
  <si>
    <t xml:space="preserve">% of Total Rev</t>
  </si>
  <si>
    <t xml:space="preserve">Contract Type</t>
  </si>
  <si>
    <t xml:space="preserve">Owner Contact?</t>
  </si>
  <si>
    <t xml:space="preserve">Notes</t>
  </si>
  <si>
    <t xml:space="preserve">Midwest Industrial Partners</t>
  </si>
  <si>
    <t xml:space="preserve">Commercial</t>
  </si>
  <si>
    <t xml:space="preserve">Cedar Falls, IA</t>
  </si>
  <si>
    <t xml:space="preserve">Annual Maintenance + Emergency</t>
  </si>
  <si>
    <t xml:space="preserve">2011</t>
  </si>
  <si>
    <t xml:space="preserve">Annual Contract</t>
  </si>
  <si>
    <t xml:space="preserve">Yes</t>
  </si>
  <si>
    <t xml:space="preserve">CEO calls Robert directly. No written SLA.</t>
  </si>
  <si>
    <t xml:space="preserve">Riverbend Apartments (12 units)</t>
  </si>
  <si>
    <t xml:space="preserve">Waterloo, IA</t>
  </si>
  <si>
    <t xml:space="preserve">HVAC Maintenance &amp; Replacement</t>
  </si>
  <si>
    <t xml:space="preserve">2015</t>
  </si>
  <si>
    <t xml:space="preserve">Lease renewal not yet signed for 2025.</t>
  </si>
  <si>
    <t xml:space="preserve">Cedar Valley School District</t>
  </si>
  <si>
    <t xml:space="preserve">Scheduled Maintenance</t>
  </si>
  <si>
    <t xml:space="preserve">2018</t>
  </si>
  <si>
    <t xml:space="preserve">No</t>
  </si>
  <si>
    <t xml:space="preserve">Bid contract — renewals competitive. 3-yr remaining.</t>
  </si>
  <si>
    <t xml:space="preserve">Johnson Family Homes (developer)</t>
  </si>
  <si>
    <t xml:space="preserve">New Construction Install</t>
  </si>
  <si>
    <t xml:space="preserve">2019</t>
  </si>
  <si>
    <t xml:space="preserve">Project-by-project</t>
  </si>
  <si>
    <t xml:space="preserve">Owner-dependent referral relationship.</t>
  </si>
  <si>
    <t xml:space="preserve">MedFirst Urgent Care (3 locs)</t>
  </si>
  <si>
    <t xml:space="preserve">PM + Emergency Service</t>
  </si>
  <si>
    <t xml:space="preserve">2017</t>
  </si>
  <si>
    <t xml:space="preserve">Stable. Renews automatically.</t>
  </si>
  <si>
    <t xml:space="preserve">Hawkeye Auto Group</t>
  </si>
  <si>
    <t xml:space="preserve">Marion, IA</t>
  </si>
  <si>
    <t xml:space="preserve">HVAC Service &amp; Install</t>
  </si>
  <si>
    <t xml:space="preserve">2020</t>
  </si>
  <si>
    <t xml:space="preserve">T&amp;M</t>
  </si>
  <si>
    <t xml:space="preserve">Project-based, no contract. Owner-to-owner relationship.</t>
  </si>
  <si>
    <t xml:space="preserve">Sunrise Senior Living</t>
  </si>
  <si>
    <t xml:space="preserve">Preventive Maintenance</t>
  </si>
  <si>
    <t xml:space="preserve">2016</t>
  </si>
  <si>
    <t xml:space="preserve">Stable long-term account.</t>
  </si>
  <si>
    <t xml:space="preserve">Residential (avg. 380 accounts)</t>
  </si>
  <si>
    <t xml:space="preserve">Residential</t>
  </si>
  <si>
    <t xml:space="preserve">Linn/Black Hawk Co.</t>
  </si>
  <si>
    <t xml:space="preserve">Service, Repair, Replace</t>
  </si>
  <si>
    <t xml:space="preserve">2002</t>
  </si>
  <si>
    <t xml:space="preserve">T&amp;M / Service</t>
  </si>
  <si>
    <t xml:space="preserve">All estimates &amp; callbacks routed through Robert.</t>
  </si>
  <si>
    <t xml:space="preserve">Seasonal Residential (new)</t>
  </si>
  <si>
    <t xml:space="preserve">Linn County</t>
  </si>
  <si>
    <t xml:space="preserve">New installs — one-time</t>
  </si>
  <si>
    <t xml:space="preserve">2024</t>
  </si>
  <si>
    <t xml:space="preserve">Project</t>
  </si>
  <si>
    <t xml:space="preserve">New customers from marketing push.</t>
  </si>
  <si>
    <t xml:space="preserve">Other / Misc Commercial</t>
  </si>
  <si>
    <t xml:space="preserve">Various</t>
  </si>
  <si>
    <t xml:space="preserve">Mixed</t>
  </si>
  <si>
    <t xml:space="preserve">Includes 11 small commercial accounts.</t>
  </si>
  <si>
    <t xml:space="preserve">TOTAL / SUMMARY</t>
  </si>
  <si>
    <t xml:space="preserve">⚠ Concentration Risk: Top 6 commercial accounts represent ~32% of total revenue. All are managed directly by owner Robert Kowalski with no formal written transition plan. Residential segment (47% of revenue) has no CRM system — customer data lives in QuickBooks and owner's phone contacts.</t>
  </si>
  <si>
    <t xml:space="preserve">PeakAir HVAC Services — Property, Plant &amp; Equipment Schedule</t>
  </si>
  <si>
    <t xml:space="preserve">As of December 31, 2024  |  Included in Sale Unless Noted</t>
  </si>
  <si>
    <t xml:space="preserve">Asset Description</t>
  </si>
  <si>
    <t xml:space="preserve">Year Acquired</t>
  </si>
  <si>
    <t xml:space="preserve">Original Cost</t>
  </si>
  <si>
    <t xml:space="preserve">Accum. Depr.</t>
  </si>
  <si>
    <t xml:space="preserve">Book Value</t>
  </si>
  <si>
    <t xml:space="preserve">Est. FMV</t>
  </si>
  <si>
    <t xml:space="preserve">Included in Sale</t>
  </si>
  <si>
    <t xml:space="preserve">2019 Ford Transit 250 (Van 1)</t>
  </si>
  <si>
    <t xml:space="preserve">High mileage (198K). Needs brakes.</t>
  </si>
  <si>
    <t xml:space="preserve">2021 Ford Transit 350 (Van 2)</t>
  </si>
  <si>
    <t xml:space="preserve">Good condition.</t>
  </si>
  <si>
    <t xml:space="preserve">2022 Ford Transit 350 (Van 3)</t>
  </si>
  <si>
    <t xml:space="preserve">2024 Ford Transit 250 (Van 4)</t>
  </si>
  <si>
    <t xml:space="preserve">New purchase — loan outstanding.</t>
  </si>
  <si>
    <t xml:space="preserve">2024 Ford Transit 250 (Van 5)</t>
  </si>
  <si>
    <t xml:space="preserve">HVAC Manifold Gauge Sets (4x)</t>
  </si>
  <si>
    <t xml:space="preserve">Functional.</t>
  </si>
  <si>
    <t xml:space="preserve">Vacuum Pumps (3x)</t>
  </si>
  <si>
    <t xml:space="preserve">Recovery Machines (4x)</t>
  </si>
  <si>
    <t xml:space="preserve">Pipe Threading Machine</t>
  </si>
  <si>
    <t xml:space="preserve">Fully depreciated. Still in use.</t>
  </si>
  <si>
    <t xml:space="preserve">Diagnostic &amp; Leak Detection Kit</t>
  </si>
  <si>
    <t xml:space="preserve">Office Furniture &amp; Fixtures</t>
  </si>
  <si>
    <t xml:space="preserve">Basic setup.</t>
  </si>
  <si>
    <t xml:space="preserve">Computer &amp; Software (QuickBooks)</t>
  </si>
  <si>
    <t xml:space="preserve">QuickBooks Pro license. 2 seats.</t>
  </si>
  <si>
    <t xml:space="preserve">Warehouse Shelving &amp; Racking</t>
  </si>
  <si>
    <t xml:space="preserve">Standard warehouse setup.</t>
  </si>
  <si>
    <t xml:space="preserve">Robert's Personal F-150 (pickup)</t>
  </si>
  <si>
    <t xml:space="preserve">NO</t>
  </si>
  <si>
    <t xml:space="preserve">Personal vehicle. NOT included in sale. Used partly for business — see SDE add-backs.</t>
  </si>
  <si>
    <t xml:space="preserve">TOTALS</t>
  </si>
  <si>
    <t xml:space="preserve">⚠ Note: Owner's personal F-150 truck is NOT included in the sale. Two vans (Van 4 &amp; Van 5) were purchased in 2024 and have outstanding loan balances totaling ~$85,000. Buyer should confirm whether vehicle loans are assumed or paid off at closing.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</si>
</sst>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"/>
    <numFmt numFmtId="166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8"/>
      <color rgb="FFC0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FA3"/>
        <bgColor rgb="FF3366FF"/>
      </patternFill>
    </fill>
    <fill>
      <patternFill patternType="solid">
        <fgColor rgb="FFFFF2CC"/>
        <bgColor rgb="FFFFFFFF"/>
      </patternFill>
    </fill>
    <fill>
      <patternFill patternType="solid">
        <fgColor rgb="FFD9E2F3"/>
        <bgColor rgb="FFBDD7EE"/>
      </patternFill>
    </fill>
    <fill>
      <patternFill patternType="solid">
        <fgColor rgb="FFFFFFFF"/>
        <bgColor rgb="FFFFF2CC"/>
      </patternFill>
    </fill>
    <fill>
      <patternFill patternType="solid">
        <fgColor rgb="FFBDD7EE"/>
        <bgColor rgb="FFCCCC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D9E2F3"/>
      <rgbColor rgb="FF660066"/>
      <rgbColor rgb="FFFF8080"/>
      <rgbColor rgb="FF2E5FA3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24"/>
    <col collapsed="false" customWidth="true" hidden="false" outlineLevel="0" max="6" min="5" style="0" width="14"/>
    <col collapsed="false" customWidth="true" hidden="false" outlineLevel="0" max="7" min="7" style="0" width="12"/>
    <col collapsed="false" customWidth="true" hidden="false" outlineLevel="0" max="8" min="8" style="0" width="18"/>
    <col collapsed="false" customWidth="true" hidden="false" outlineLevel="0" max="9" min="9" style="0" width="14"/>
    <col collapsed="false" customWidth="true" hidden="false" outlineLevel="0" max="10" min="10" style="0" width="34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23.85" hidden="false" customHeight="fals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</row>
    <row r="4" customFormat="false" ht="24" hidden="false" customHeight="true" outlineLevel="0" collapsed="false">
      <c r="A4" s="4" t="s">
        <v>12</v>
      </c>
      <c r="B4" s="5" t="s">
        <v>13</v>
      </c>
      <c r="C4" s="5" t="s">
        <v>14</v>
      </c>
      <c r="D4" s="5" t="s">
        <v>15</v>
      </c>
      <c r="E4" s="6" t="s">
        <v>16</v>
      </c>
      <c r="F4" s="7" t="n">
        <v>87500</v>
      </c>
      <c r="G4" s="8" t="n">
        <v>0.089</v>
      </c>
      <c r="H4" s="5" t="s">
        <v>17</v>
      </c>
      <c r="I4" s="6" t="s">
        <v>18</v>
      </c>
      <c r="J4" s="5" t="s">
        <v>19</v>
      </c>
    </row>
    <row r="5" customFormat="false" ht="24" hidden="false" customHeight="true" outlineLevel="0" collapsed="false">
      <c r="A5" s="4" t="s">
        <v>20</v>
      </c>
      <c r="B5" s="5" t="s">
        <v>13</v>
      </c>
      <c r="C5" s="5" t="s">
        <v>21</v>
      </c>
      <c r="D5" s="5" t="s">
        <v>22</v>
      </c>
      <c r="E5" s="6" t="s">
        <v>23</v>
      </c>
      <c r="F5" s="7" t="n">
        <v>71200</v>
      </c>
      <c r="G5" s="8" t="n">
        <v>0.072</v>
      </c>
      <c r="H5" s="5" t="s">
        <v>17</v>
      </c>
      <c r="I5" s="6" t="s">
        <v>18</v>
      </c>
      <c r="J5" s="5" t="s">
        <v>24</v>
      </c>
    </row>
    <row r="6" customFormat="false" ht="24" hidden="false" customHeight="true" outlineLevel="0" collapsed="false">
      <c r="A6" s="9" t="s">
        <v>25</v>
      </c>
      <c r="B6" s="10" t="s">
        <v>13</v>
      </c>
      <c r="C6" s="10" t="s">
        <v>14</v>
      </c>
      <c r="D6" s="10" t="s">
        <v>26</v>
      </c>
      <c r="E6" s="11" t="s">
        <v>27</v>
      </c>
      <c r="F6" s="12" t="n">
        <v>64800</v>
      </c>
      <c r="G6" s="13" t="n">
        <v>0.066</v>
      </c>
      <c r="H6" s="10" t="s">
        <v>17</v>
      </c>
      <c r="I6" s="11" t="s">
        <v>28</v>
      </c>
      <c r="J6" s="10" t="s">
        <v>29</v>
      </c>
    </row>
    <row r="7" customFormat="false" ht="24" hidden="false" customHeight="true" outlineLevel="0" collapsed="false">
      <c r="A7" s="4" t="s">
        <v>30</v>
      </c>
      <c r="B7" s="5" t="s">
        <v>13</v>
      </c>
      <c r="C7" s="5" t="s">
        <v>21</v>
      </c>
      <c r="D7" s="5" t="s">
        <v>31</v>
      </c>
      <c r="E7" s="6" t="s">
        <v>32</v>
      </c>
      <c r="F7" s="7" t="n">
        <v>58300</v>
      </c>
      <c r="G7" s="8" t="n">
        <v>0.059</v>
      </c>
      <c r="H7" s="5" t="s">
        <v>33</v>
      </c>
      <c r="I7" s="6" t="s">
        <v>18</v>
      </c>
      <c r="J7" s="5" t="s">
        <v>34</v>
      </c>
    </row>
    <row r="8" customFormat="false" ht="24" hidden="false" customHeight="true" outlineLevel="0" collapsed="false">
      <c r="A8" s="9" t="s">
        <v>35</v>
      </c>
      <c r="B8" s="10" t="s">
        <v>13</v>
      </c>
      <c r="C8" s="10" t="s">
        <v>14</v>
      </c>
      <c r="D8" s="10" t="s">
        <v>36</v>
      </c>
      <c r="E8" s="11" t="s">
        <v>37</v>
      </c>
      <c r="F8" s="12" t="n">
        <v>51400</v>
      </c>
      <c r="G8" s="13" t="n">
        <v>0.052</v>
      </c>
      <c r="H8" s="10" t="s">
        <v>17</v>
      </c>
      <c r="I8" s="11" t="s">
        <v>28</v>
      </c>
      <c r="J8" s="10" t="s">
        <v>38</v>
      </c>
    </row>
    <row r="9" customFormat="false" ht="24" hidden="false" customHeight="true" outlineLevel="0" collapsed="false">
      <c r="A9" s="4" t="s">
        <v>39</v>
      </c>
      <c r="B9" s="5" t="s">
        <v>13</v>
      </c>
      <c r="C9" s="5" t="s">
        <v>40</v>
      </c>
      <c r="D9" s="5" t="s">
        <v>41</v>
      </c>
      <c r="E9" s="6" t="s">
        <v>42</v>
      </c>
      <c r="F9" s="7" t="n">
        <v>44900</v>
      </c>
      <c r="G9" s="8" t="n">
        <v>0.046</v>
      </c>
      <c r="H9" s="5" t="s">
        <v>43</v>
      </c>
      <c r="I9" s="6" t="s">
        <v>18</v>
      </c>
      <c r="J9" s="5" t="s">
        <v>44</v>
      </c>
    </row>
    <row r="10" customFormat="false" ht="24" hidden="false" customHeight="true" outlineLevel="0" collapsed="false">
      <c r="A10" s="9" t="s">
        <v>45</v>
      </c>
      <c r="B10" s="10" t="s">
        <v>13</v>
      </c>
      <c r="C10" s="10" t="s">
        <v>14</v>
      </c>
      <c r="D10" s="10" t="s">
        <v>46</v>
      </c>
      <c r="E10" s="11" t="s">
        <v>47</v>
      </c>
      <c r="F10" s="12" t="n">
        <v>38700</v>
      </c>
      <c r="G10" s="13" t="n">
        <v>0.039</v>
      </c>
      <c r="H10" s="10" t="s">
        <v>17</v>
      </c>
      <c r="I10" s="11" t="s">
        <v>28</v>
      </c>
      <c r="J10" s="10" t="s">
        <v>48</v>
      </c>
    </row>
    <row r="11" customFormat="false" ht="24" hidden="false" customHeight="true" outlineLevel="0" collapsed="false">
      <c r="A11" s="4" t="s">
        <v>49</v>
      </c>
      <c r="B11" s="5" t="s">
        <v>50</v>
      </c>
      <c r="C11" s="5" t="s">
        <v>51</v>
      </c>
      <c r="D11" s="5" t="s">
        <v>52</v>
      </c>
      <c r="E11" s="6" t="s">
        <v>53</v>
      </c>
      <c r="F11" s="7" t="n">
        <v>462000</v>
      </c>
      <c r="G11" s="8" t="n">
        <v>0.47</v>
      </c>
      <c r="H11" s="5" t="s">
        <v>54</v>
      </c>
      <c r="I11" s="6" t="s">
        <v>18</v>
      </c>
      <c r="J11" s="5" t="s">
        <v>55</v>
      </c>
    </row>
    <row r="12" customFormat="false" ht="24" hidden="false" customHeight="true" outlineLevel="0" collapsed="false">
      <c r="A12" s="9" t="s">
        <v>56</v>
      </c>
      <c r="B12" s="10" t="s">
        <v>50</v>
      </c>
      <c r="C12" s="10" t="s">
        <v>57</v>
      </c>
      <c r="D12" s="10" t="s">
        <v>58</v>
      </c>
      <c r="E12" s="11" t="s">
        <v>59</v>
      </c>
      <c r="F12" s="12" t="n">
        <v>43700</v>
      </c>
      <c r="G12" s="13" t="n">
        <v>0.044</v>
      </c>
      <c r="H12" s="10" t="s">
        <v>60</v>
      </c>
      <c r="I12" s="11" t="s">
        <v>28</v>
      </c>
      <c r="J12" s="10" t="s">
        <v>61</v>
      </c>
    </row>
    <row r="13" customFormat="false" ht="24" hidden="false" customHeight="true" outlineLevel="0" collapsed="false">
      <c r="A13" s="9" t="s">
        <v>62</v>
      </c>
      <c r="B13" s="10" t="s">
        <v>13</v>
      </c>
      <c r="C13" s="10" t="s">
        <v>63</v>
      </c>
      <c r="D13" s="10" t="s">
        <v>63</v>
      </c>
      <c r="E13" s="11" t="s">
        <v>63</v>
      </c>
      <c r="F13" s="12" t="n">
        <v>60500</v>
      </c>
      <c r="G13" s="13" t="n">
        <v>0.062</v>
      </c>
      <c r="H13" s="10" t="s">
        <v>63</v>
      </c>
      <c r="I13" s="11" t="s">
        <v>64</v>
      </c>
      <c r="J13" s="10" t="s">
        <v>65</v>
      </c>
    </row>
    <row r="14" customFormat="false" ht="15" hidden="false" customHeight="false" outlineLevel="0" collapsed="false">
      <c r="A14" s="14" t="s">
        <v>66</v>
      </c>
      <c r="B14" s="15"/>
      <c r="C14" s="15"/>
      <c r="D14" s="15"/>
      <c r="E14" s="15"/>
      <c r="F14" s="16" t="n">
        <f aca="false">SUM(F4:F13)</f>
        <v>983000</v>
      </c>
      <c r="G14" s="17" t="n">
        <f aca="false">SUM(G4:G13)</f>
        <v>0.999</v>
      </c>
      <c r="H14" s="15"/>
      <c r="I14" s="15"/>
      <c r="J14" s="15"/>
    </row>
    <row r="16" customFormat="false" ht="36" hidden="false" customHeight="true" outlineLevel="0" collapsed="false">
      <c r="A16" s="18" t="s">
        <v>67</v>
      </c>
      <c r="B16" s="18"/>
      <c r="C16" s="18"/>
      <c r="D16" s="18"/>
      <c r="E16" s="18"/>
      <c r="F16" s="18"/>
      <c r="G16" s="18"/>
      <c r="H16" s="18"/>
      <c r="I16" s="18"/>
      <c r="J16" s="18"/>
    </row>
  </sheetData>
  <mergeCells count="3">
    <mergeCell ref="A1:J1"/>
    <mergeCell ref="A2:J2"/>
    <mergeCell ref="A16:J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6" min="3" style="0" width="12"/>
    <col collapsed="false" customWidth="true" hidden="false" outlineLevel="0" max="8" min="7" style="0" width="14"/>
    <col collapsed="false" customWidth="true" hidden="false" outlineLevel="0" max="9" min="9" style="0" width="20"/>
  </cols>
  <sheetData>
    <row r="1" customFormat="false" ht="27.75" hidden="false" customHeight="true" outlineLevel="0" collapsed="false">
      <c r="A1" s="1" t="s">
        <v>68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69</v>
      </c>
      <c r="B2" s="2"/>
      <c r="C2" s="2"/>
      <c r="D2" s="2"/>
      <c r="E2" s="2"/>
      <c r="F2" s="2"/>
      <c r="G2" s="2"/>
      <c r="H2" s="2"/>
      <c r="I2" s="2"/>
    </row>
    <row r="3" customFormat="false" ht="23.85" hidden="false" customHeight="false" outlineLevel="0" collapsed="false">
      <c r="A3" s="3" t="s">
        <v>70</v>
      </c>
      <c r="B3" s="3" t="s">
        <v>71</v>
      </c>
      <c r="C3" s="3" t="s">
        <v>72</v>
      </c>
      <c r="D3" s="3" t="s">
        <v>73</v>
      </c>
      <c r="E3" s="3" t="s">
        <v>74</v>
      </c>
      <c r="F3" s="3" t="s">
        <v>75</v>
      </c>
      <c r="G3" s="3" t="s">
        <v>76</v>
      </c>
      <c r="H3" s="3" t="s">
        <v>11</v>
      </c>
    </row>
    <row r="4" customFormat="false" ht="19.5" hidden="false" customHeight="true" outlineLevel="0" collapsed="false">
      <c r="A4" s="4" t="s">
        <v>77</v>
      </c>
      <c r="B4" s="6" t="n">
        <v>2019</v>
      </c>
      <c r="C4" s="7" t="n">
        <v>38000</v>
      </c>
      <c r="D4" s="7" t="n">
        <v>28500</v>
      </c>
      <c r="E4" s="7" t="n">
        <v>9500</v>
      </c>
      <c r="F4" s="7" t="n">
        <v>4000</v>
      </c>
      <c r="G4" s="11" t="s">
        <v>18</v>
      </c>
      <c r="H4" s="5" t="s">
        <v>78</v>
      </c>
    </row>
    <row r="5" customFormat="false" ht="19.5" hidden="false" customHeight="true" outlineLevel="0" collapsed="false">
      <c r="A5" s="19" t="s">
        <v>79</v>
      </c>
      <c r="B5" s="11" t="n">
        <v>2021</v>
      </c>
      <c r="C5" s="12" t="n">
        <v>44000</v>
      </c>
      <c r="D5" s="12" t="n">
        <v>17600</v>
      </c>
      <c r="E5" s="12" t="n">
        <v>26400</v>
      </c>
      <c r="F5" s="12" t="n">
        <v>28000</v>
      </c>
      <c r="G5" s="11" t="s">
        <v>18</v>
      </c>
      <c r="H5" s="10" t="s">
        <v>80</v>
      </c>
    </row>
    <row r="6" customFormat="false" ht="19.5" hidden="false" customHeight="true" outlineLevel="0" collapsed="false">
      <c r="A6" s="19" t="s">
        <v>81</v>
      </c>
      <c r="B6" s="11" t="n">
        <v>2022</v>
      </c>
      <c r="C6" s="12" t="n">
        <v>44000</v>
      </c>
      <c r="D6" s="12" t="n">
        <v>13200</v>
      </c>
      <c r="E6" s="12" t="n">
        <v>30800</v>
      </c>
      <c r="F6" s="12" t="n">
        <v>32000</v>
      </c>
      <c r="G6" s="11" t="s">
        <v>18</v>
      </c>
      <c r="H6" s="10" t="s">
        <v>80</v>
      </c>
    </row>
    <row r="7" customFormat="false" ht="19.5" hidden="false" customHeight="true" outlineLevel="0" collapsed="false">
      <c r="A7" s="19" t="s">
        <v>82</v>
      </c>
      <c r="B7" s="11" t="n">
        <v>2024</v>
      </c>
      <c r="C7" s="12" t="n">
        <v>48000</v>
      </c>
      <c r="D7" s="12" t="n">
        <v>4800</v>
      </c>
      <c r="E7" s="12" t="n">
        <v>43200</v>
      </c>
      <c r="F7" s="12" t="n">
        <v>45000</v>
      </c>
      <c r="G7" s="11" t="s">
        <v>18</v>
      </c>
      <c r="H7" s="10" t="s">
        <v>83</v>
      </c>
    </row>
    <row r="8" customFormat="false" ht="19.5" hidden="false" customHeight="true" outlineLevel="0" collapsed="false">
      <c r="A8" s="19" t="s">
        <v>84</v>
      </c>
      <c r="B8" s="11" t="n">
        <v>2024</v>
      </c>
      <c r="C8" s="12" t="n">
        <v>46000</v>
      </c>
      <c r="D8" s="12" t="n">
        <v>4600</v>
      </c>
      <c r="E8" s="12" t="n">
        <v>41400</v>
      </c>
      <c r="F8" s="12" t="n">
        <v>43500</v>
      </c>
      <c r="G8" s="11" t="s">
        <v>18</v>
      </c>
      <c r="H8" s="10" t="s">
        <v>83</v>
      </c>
    </row>
    <row r="9" customFormat="false" ht="19.5" hidden="false" customHeight="true" outlineLevel="0" collapsed="false">
      <c r="A9" s="19" t="s">
        <v>85</v>
      </c>
      <c r="B9" s="11" t="n">
        <v>2020</v>
      </c>
      <c r="C9" s="12" t="n">
        <v>3200</v>
      </c>
      <c r="D9" s="12" t="n">
        <v>2400</v>
      </c>
      <c r="E9" s="12" t="n">
        <v>800</v>
      </c>
      <c r="F9" s="12" t="n">
        <v>1200</v>
      </c>
      <c r="G9" s="11" t="s">
        <v>18</v>
      </c>
      <c r="H9" s="10" t="s">
        <v>86</v>
      </c>
    </row>
    <row r="10" customFormat="false" ht="19.5" hidden="false" customHeight="true" outlineLevel="0" collapsed="false">
      <c r="A10" s="19" t="s">
        <v>87</v>
      </c>
      <c r="B10" s="11" t="n">
        <v>2021</v>
      </c>
      <c r="C10" s="12" t="n">
        <v>2700</v>
      </c>
      <c r="D10" s="12" t="n">
        <v>1620</v>
      </c>
      <c r="E10" s="12" t="n">
        <v>1080</v>
      </c>
      <c r="F10" s="12" t="n">
        <v>1400</v>
      </c>
      <c r="G10" s="11" t="s">
        <v>18</v>
      </c>
      <c r="H10" s="10" t="s">
        <v>86</v>
      </c>
    </row>
    <row r="11" customFormat="false" ht="19.5" hidden="false" customHeight="true" outlineLevel="0" collapsed="false">
      <c r="A11" s="19" t="s">
        <v>88</v>
      </c>
      <c r="B11" s="11" t="n">
        <v>2020</v>
      </c>
      <c r="C11" s="12" t="n">
        <v>4800</v>
      </c>
      <c r="D11" s="12" t="n">
        <v>3600</v>
      </c>
      <c r="E11" s="12" t="n">
        <v>1200</v>
      </c>
      <c r="F11" s="12" t="n">
        <v>1800</v>
      </c>
      <c r="G11" s="11" t="s">
        <v>18</v>
      </c>
      <c r="H11" s="10" t="s">
        <v>86</v>
      </c>
    </row>
    <row r="12" customFormat="false" ht="19.5" hidden="false" customHeight="true" outlineLevel="0" collapsed="false">
      <c r="A12" s="19" t="s">
        <v>89</v>
      </c>
      <c r="B12" s="11" t="n">
        <v>2018</v>
      </c>
      <c r="C12" s="12" t="n">
        <v>4200</v>
      </c>
      <c r="D12" s="12" t="n">
        <v>4200</v>
      </c>
      <c r="E12" s="12" t="n">
        <v>0</v>
      </c>
      <c r="F12" s="12" t="n">
        <v>500</v>
      </c>
      <c r="G12" s="11" t="s">
        <v>18</v>
      </c>
      <c r="H12" s="10" t="s">
        <v>90</v>
      </c>
    </row>
    <row r="13" customFormat="false" ht="19.5" hidden="false" customHeight="true" outlineLevel="0" collapsed="false">
      <c r="A13" s="19" t="s">
        <v>91</v>
      </c>
      <c r="B13" s="11" t="n">
        <v>2022</v>
      </c>
      <c r="C13" s="12" t="n">
        <v>6800</v>
      </c>
      <c r="D13" s="12" t="n">
        <v>2720</v>
      </c>
      <c r="E13" s="12" t="n">
        <v>4080</v>
      </c>
      <c r="F13" s="12" t="n">
        <v>4500</v>
      </c>
      <c r="G13" s="11" t="s">
        <v>18</v>
      </c>
      <c r="H13" s="10" t="s">
        <v>80</v>
      </c>
    </row>
    <row r="14" customFormat="false" ht="19.5" hidden="false" customHeight="true" outlineLevel="0" collapsed="false">
      <c r="A14" s="19" t="s">
        <v>92</v>
      </c>
      <c r="B14" s="11" t="n">
        <v>2019</v>
      </c>
      <c r="C14" s="12" t="n">
        <v>8500</v>
      </c>
      <c r="D14" s="12" t="n">
        <v>7650</v>
      </c>
      <c r="E14" s="12" t="n">
        <v>850</v>
      </c>
      <c r="F14" s="12" t="n">
        <v>1000</v>
      </c>
      <c r="G14" s="11" t="s">
        <v>18</v>
      </c>
      <c r="H14" s="10" t="s">
        <v>93</v>
      </c>
    </row>
    <row r="15" customFormat="false" ht="19.5" hidden="false" customHeight="true" outlineLevel="0" collapsed="false">
      <c r="A15" s="19" t="s">
        <v>94</v>
      </c>
      <c r="B15" s="11" t="n">
        <v>2021</v>
      </c>
      <c r="C15" s="12" t="n">
        <v>4200</v>
      </c>
      <c r="D15" s="12" t="n">
        <v>3360</v>
      </c>
      <c r="E15" s="12" t="n">
        <v>840</v>
      </c>
      <c r="F15" s="12" t="n">
        <v>500</v>
      </c>
      <c r="G15" s="11" t="s">
        <v>18</v>
      </c>
      <c r="H15" s="10" t="s">
        <v>95</v>
      </c>
    </row>
    <row r="16" customFormat="false" ht="19.5" hidden="false" customHeight="true" outlineLevel="0" collapsed="false">
      <c r="A16" s="19" t="s">
        <v>96</v>
      </c>
      <c r="B16" s="11" t="n">
        <v>2020</v>
      </c>
      <c r="C16" s="12" t="n">
        <v>3800</v>
      </c>
      <c r="D16" s="12" t="n">
        <v>2280</v>
      </c>
      <c r="E16" s="12" t="n">
        <v>1520</v>
      </c>
      <c r="F16" s="12" t="n">
        <v>1200</v>
      </c>
      <c r="G16" s="11" t="s">
        <v>18</v>
      </c>
      <c r="H16" s="10" t="s">
        <v>97</v>
      </c>
    </row>
    <row r="17" customFormat="false" ht="19.5" hidden="false" customHeight="true" outlineLevel="0" collapsed="false">
      <c r="A17" s="4" t="s">
        <v>98</v>
      </c>
      <c r="B17" s="6" t="n">
        <v>2022</v>
      </c>
      <c r="C17" s="7" t="n">
        <v>52000</v>
      </c>
      <c r="D17" s="7" t="n">
        <v>18200</v>
      </c>
      <c r="E17" s="7" t="n">
        <v>33800</v>
      </c>
      <c r="F17" s="7" t="n">
        <v>36000</v>
      </c>
      <c r="G17" s="6" t="s">
        <v>99</v>
      </c>
      <c r="H17" s="5" t="s">
        <v>100</v>
      </c>
    </row>
    <row r="18" customFormat="false" ht="15" hidden="false" customHeight="false" outlineLevel="0" collapsed="false">
      <c r="A18" s="14" t="s">
        <v>101</v>
      </c>
      <c r="B18" s="15"/>
      <c r="C18" s="16" t="n">
        <f aca="false">SUM(C4:C17)</f>
        <v>310200</v>
      </c>
      <c r="D18" s="16" t="n">
        <f aca="false">SUM(D4:D17)</f>
        <v>114730</v>
      </c>
      <c r="E18" s="16" t="n">
        <f aca="false">SUM(E4:E17)</f>
        <v>195470</v>
      </c>
      <c r="F18" s="16" t="n">
        <f aca="false">SUM(F4:F17)</f>
        <v>200600</v>
      </c>
      <c r="G18" s="15"/>
      <c r="H18" s="15"/>
    </row>
    <row r="20" customFormat="false" ht="36" hidden="false" customHeight="true" outlineLevel="0" collapsed="false">
      <c r="A20" s="18" t="s">
        <v>102</v>
      </c>
      <c r="B20" s="18"/>
      <c r="C20" s="18"/>
      <c r="D20" s="18"/>
      <c r="E20" s="18"/>
      <c r="F20" s="18"/>
      <c r="G20" s="18"/>
      <c r="H20" s="18"/>
      <c r="I20" s="18"/>
    </row>
  </sheetData>
  <mergeCells count="3">
    <mergeCell ref="A1:I1"/>
    <mergeCell ref="A2:I2"/>
    <mergeCell ref="A20:I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2026-03-27T22:14:18Z</dcterms:created>
  <dc:creator>openpyxl</dc:creator>
  <dc:description/>
  <dc:language>en-US</dc:language>
  <cp:lastModifiedBy/>
  <dcterms:modified xsi:type="dcterms:W3CDTF">2026-03-27T22:14:18Z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