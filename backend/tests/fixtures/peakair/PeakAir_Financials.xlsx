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tatement" sheetId="1" state="visible" r:id="rId3"/>
    <sheet name="Balance Sheet" sheetId="2" state="visible" r:id="rId4"/>
    <sheet name="SD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<sst xmlns="http://schemas.openxmlformats.org/spreadsheetml/2006/main" count="98" uniqueCount="91">
  <si>
    <t xml:space="preserve">PeakAir HVAC Services — Profit &amp; Loss Statement</t>
  </si>
  <si>
    <t xml:space="preserve">For the Fiscal Years Ended December 31, 2022 | 2023 | 2024</t>
  </si>
  <si>
    <t xml:space="preserve">FY 2022</t>
  </si>
  <si>
    <t xml:space="preserve">FY 2022 %</t>
  </si>
  <si>
    <t xml:space="preserve">FY 2023</t>
  </si>
  <si>
    <t xml:space="preserve">FY 2023 %</t>
  </si>
  <si>
    <t xml:space="preserve">FY 2024</t>
  </si>
  <si>
    <t xml:space="preserve">FY 2024 %</t>
  </si>
  <si>
    <t xml:space="preserve">REVENUE</t>
  </si>
  <si>
    <t xml:space="preserve">Residential HVAC Service &amp; Repair</t>
  </si>
  <si>
    <t xml:space="preserve">Commercial Maintenance Contracts</t>
  </si>
  <si>
    <t xml:space="preserve">Equipment Installation</t>
  </si>
  <si>
    <t xml:space="preserve">Emergency Service Calls</t>
  </si>
  <si>
    <t xml:space="preserve">Total Revenue</t>
  </si>
  <si>
    <t xml:space="preserve">COST OF REVENUE</t>
  </si>
  <si>
    <t xml:space="preserve">Labor – Field Technicians</t>
  </si>
  <si>
    <t xml:space="preserve">Parts &amp; Materials</t>
  </si>
  <si>
    <t xml:space="preserve">Subcontractor Costs</t>
  </si>
  <si>
    <t xml:space="preserve">Vehicle Operating Costs</t>
  </si>
  <si>
    <t xml:space="preserve">Total Cost of Revenue</t>
  </si>
  <si>
    <t xml:space="preserve">GROSS PROFIT</t>
  </si>
  <si>
    <t xml:space="preserve">OPERATING EXPENSES</t>
  </si>
  <si>
    <t xml:space="preserve">Owner Salary &amp; Benefits</t>
  </si>
  <si>
    <t xml:space="preserve">Office Staff Salaries</t>
  </si>
  <si>
    <t xml:space="preserve">Rent – Office &amp; Warehouse</t>
  </si>
  <si>
    <t xml:space="preserve">Advertising &amp; Marketing</t>
  </si>
  <si>
    <t xml:space="preserve">Insurance</t>
  </si>
  <si>
    <t xml:space="preserve">Software &amp; Dispatch Systems</t>
  </si>
  <si>
    <t xml:space="preserve">General &amp; Administrative</t>
  </si>
  <si>
    <t xml:space="preserve">Depreciation</t>
  </si>
  <si>
    <t xml:space="preserve">Total Operating Expenses</t>
  </si>
  <si>
    <t xml:space="preserve">EBITDA (before owner add-backs)</t>
  </si>
  <si>
    <t xml:space="preserve">NET INCOME</t>
  </si>
  <si>
    <t xml:space="preserve">Note: Owner salary is above market rate for a replacement manager. Commercial maintenance contract revenue is declining year-over-year. Subcontractor usage has increased materially, indicating potential capacity constraints.</t>
  </si>
  <si>
    <t xml:space="preserve">PeakAir HVAC Services — Balance Sheet</t>
  </si>
  <si>
    <t xml:space="preserve">As of December 31</t>
  </si>
  <si>
    <t xml:space="preserve">ASSETS</t>
  </si>
  <si>
    <t xml:space="preserve">Current Assets</t>
  </si>
  <si>
    <t xml:space="preserve">Cash &amp; Cash Equivalents</t>
  </si>
  <si>
    <t xml:space="preserve">Accounts Receivable</t>
  </si>
  <si>
    <t xml:space="preserve">Inventory – Parts &amp; Supplies</t>
  </si>
  <si>
    <t xml:space="preserve">Prepaid Expenses</t>
  </si>
  <si>
    <t xml:space="preserve">Total Current Assets</t>
  </si>
  <si>
    <t xml:space="preserve">Non-Current Assets</t>
  </si>
  <si>
    <t xml:space="preserve">Service Vehicles (5 vans)</t>
  </si>
  <si>
    <t xml:space="preserve">Less: Accumulated Depreciation</t>
  </si>
  <si>
    <t xml:space="preserve">Tools &amp; Equipment</t>
  </si>
  <si>
    <t xml:space="preserve">Total Property, Plant &amp; Equipment</t>
  </si>
  <si>
    <t xml:space="preserve">TOTAL ASSETS</t>
  </si>
  <si>
    <t xml:space="preserve">LIABILITIES</t>
  </si>
  <si>
    <t xml:space="preserve">Current Liabilities</t>
  </si>
  <si>
    <t xml:space="preserve">Accounts Payable</t>
  </si>
  <si>
    <t xml:space="preserve">Accrued Wages</t>
  </si>
  <si>
    <t xml:space="preserve">Deferred Revenue</t>
  </si>
  <si>
    <t xml:space="preserve">Current Portion – Vehicle Loan</t>
  </si>
  <si>
    <t xml:space="preserve">Total Current Liabilities</t>
  </si>
  <si>
    <t xml:space="preserve">Long-Term Liabilities</t>
  </si>
  <si>
    <t xml:space="preserve">Vehicle Loan (3 vans)</t>
  </si>
  <si>
    <t xml:space="preserve">Equipment Financing</t>
  </si>
  <si>
    <t xml:space="preserve">Total Long-Term Liabilities</t>
  </si>
  <si>
    <t xml:space="preserve">TOTAL LIABILITIES</t>
  </si>
  <si>
    <t xml:space="preserve">OWNER'S EQUITY</t>
  </si>
  <si>
    <t xml:space="preserve">Owner's Capital</t>
  </si>
  <si>
    <t xml:space="preserve">Total Owner's Equity</t>
  </si>
  <si>
    <t xml:space="preserve">TOTAL LIABILITIES &amp; EQUITY</t>
  </si>
  <si>
    <t xml:space="preserve">Note: Cash balance declining despite revenue growth; accounts receivable growth is outpacing revenue growth suggesting collections issues. Deferred maintenance contract revenue is declining, consistent with P&amp;L trend.</t>
  </si>
  <si>
    <t xml:space="preserve">PeakAir HVAC Services — Seller's Discretionary Earnings (SDE)</t>
  </si>
  <si>
    <t xml:space="preserve">Prepared by Owner — March 2025 | Trailing 3-Year Analysis</t>
  </si>
  <si>
    <t xml:space="preserve">STEP 1 — START WITH NET INCOME</t>
  </si>
  <si>
    <t xml:space="preserve">Net Income (from P&amp;L)</t>
  </si>
  <si>
    <t xml:space="preserve">STEP 2 — ADD BACK NON-CASH &amp; ONE-TIME ITEMS</t>
  </si>
  <si>
    <t xml:space="preserve">Depreciation &amp; Amortization</t>
  </si>
  <si>
    <t xml:space="preserve">Interest Expense on Vehicle Loans</t>
  </si>
  <si>
    <t xml:space="preserve">One-Time Legal Fees (trademark dispute)</t>
  </si>
  <si>
    <t xml:space="preserve">STEP 3 — ADD BACK OWNER-RELATED EXPENSES</t>
  </si>
  <si>
    <t xml:space="preserve">Owner Salary (above market rate)</t>
  </si>
  <si>
    <t xml:space="preserve">Owner Health Insurance</t>
  </si>
  <si>
    <t xml:space="preserve">Owner Vehicle (personal use)</t>
  </si>
  <si>
    <t xml:space="preserve">Owner Cell Phone &amp; Personal Expenses</t>
  </si>
  <si>
    <t xml:space="preserve">Owner Retirement Contributions</t>
  </si>
  <si>
    <t xml:space="preserve">TOTAL SELLER'S DISCRETIONARY EARNINGS (SDE)</t>
  </si>
  <si>
    <t xml:space="preserve">Total SDE</t>
  </si>
  <si>
    <t xml:space="preserve">INDICATIVE VALUATION BRIDGE</t>
  </si>
  <si>
    <t xml:space="preserve">Trailing 12-Month SDE (FY 2024)</t>
  </si>
  <si>
    <t xml:space="preserve">Applied Multiple (2.5x – 3.0x)</t>
  </si>
  <si>
    <t xml:space="preserve">2.5x – 3.0x</t>
  </si>
  <si>
    <t xml:space="preserve">Estimated Enterprise Value Range</t>
  </si>
  <si>
    <t xml:space="preserve">$865K – $1.04M</t>
  </si>
  <si>
    <t xml:space="preserve">Asking Price (per listing)</t>
  </si>
  <si>
    <t xml:space="preserve">$1,150,000</t>
  </si>
  <si>
    <t xml:space="preserve">⚠ Caution: Owner has included a personal vehicle ($14,400/yr) as a full add-back. Market-rate manager salary replacement is estimated at ~$85,000–$95,000/yr vs. owner's current $172,000. Adjusted SDE after applying replacement manager salary would be approximately $236,000–$246,000, implying asking price is at ~4.7x adjusted SDE.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</si>
</sst>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BDD7EE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2CC"/>
      <rgbColor rgb="FFD9E2F3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9</v>
      </c>
      <c r="B6" s="6" t="n">
        <v>410000</v>
      </c>
      <c r="C6" s="7" t="n">
        <v>0.477</v>
      </c>
      <c r="D6" s="6" t="n">
        <v>438000</v>
      </c>
      <c r="E6" s="7" t="n">
        <v>0.473</v>
      </c>
      <c r="F6" s="6" t="n">
        <v>462000</v>
      </c>
      <c r="G6" s="7" t="n">
        <v>0.47</v>
      </c>
    </row>
    <row r="7" customFormat="false" ht="15" hidden="false" customHeight="false" outlineLevel="0" collapsed="false">
      <c r="A7" s="5" t="s">
        <v>10</v>
      </c>
      <c r="B7" s="8" t="n">
        <v>185000</v>
      </c>
      <c r="C7" s="7" t="n">
        <v>0.215</v>
      </c>
      <c r="D7" s="8" t="n">
        <v>178000</v>
      </c>
      <c r="E7" s="7" t="n">
        <v>0.192</v>
      </c>
      <c r="F7" s="8" t="n">
        <v>172000</v>
      </c>
      <c r="G7" s="7" t="n">
        <v>0.175</v>
      </c>
    </row>
    <row r="8" customFormat="false" ht="15" hidden="false" customHeight="false" outlineLevel="0" collapsed="false">
      <c r="A8" s="5" t="s">
        <v>11</v>
      </c>
      <c r="B8" s="6" t="n">
        <v>210000</v>
      </c>
      <c r="C8" s="7" t="n">
        <v>0.244</v>
      </c>
      <c r="D8" s="6" t="n">
        <v>248000</v>
      </c>
      <c r="E8" s="7" t="n">
        <v>0.268</v>
      </c>
      <c r="F8" s="6" t="n">
        <v>291000</v>
      </c>
      <c r="G8" s="7" t="n">
        <v>0.296</v>
      </c>
    </row>
    <row r="9" customFormat="false" ht="15" hidden="false" customHeight="false" outlineLevel="0" collapsed="false">
      <c r="A9" s="5" t="s">
        <v>12</v>
      </c>
      <c r="B9" s="6" t="n">
        <v>55000</v>
      </c>
      <c r="C9" s="7" t="n">
        <v>0.064</v>
      </c>
      <c r="D9" s="6" t="n">
        <v>62000</v>
      </c>
      <c r="E9" s="7" t="n">
        <v>0.067</v>
      </c>
      <c r="F9" s="6" t="n">
        <v>58000</v>
      </c>
      <c r="G9" s="7" t="n">
        <v>0.059</v>
      </c>
    </row>
    <row r="10" customFormat="false" ht="15" hidden="false" customHeight="false" outlineLevel="0" collapsed="false">
      <c r="A10" s="9" t="s">
        <v>13</v>
      </c>
      <c r="B10" s="10" t="n">
        <v>860000</v>
      </c>
      <c r="C10" s="7" t="n">
        <v>1</v>
      </c>
      <c r="D10" s="10" t="n">
        <v>926000</v>
      </c>
      <c r="E10" s="7" t="n">
        <v>1</v>
      </c>
      <c r="F10" s="10" t="n">
        <v>983000</v>
      </c>
      <c r="G10" s="7" t="n">
        <v>1</v>
      </c>
    </row>
    <row r="12" customFormat="false" ht="15" hidden="false" customHeight="false" outlineLevel="0" collapsed="false">
      <c r="A12" s="4" t="s">
        <v>14</v>
      </c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5" t="s">
        <v>15</v>
      </c>
      <c r="B13" s="6" t="n">
        <v>258000</v>
      </c>
      <c r="C13" s="7" t="n">
        <v>0.3</v>
      </c>
      <c r="D13" s="6" t="n">
        <v>277800</v>
      </c>
      <c r="E13" s="7" t="n">
        <v>0.3</v>
      </c>
      <c r="F13" s="6" t="n">
        <v>294900</v>
      </c>
      <c r="G13" s="7" t="n">
        <v>0.3</v>
      </c>
    </row>
    <row r="14" customFormat="false" ht="15" hidden="false" customHeight="false" outlineLevel="0" collapsed="false">
      <c r="A14" s="5" t="s">
        <v>16</v>
      </c>
      <c r="B14" s="6" t="n">
        <v>103200</v>
      </c>
      <c r="C14" s="7" t="n">
        <v>0.12</v>
      </c>
      <c r="D14" s="6" t="n">
        <v>111120</v>
      </c>
      <c r="E14" s="7" t="n">
        <v>0.12</v>
      </c>
      <c r="F14" s="6" t="n">
        <v>117960</v>
      </c>
      <c r="G14" s="7" t="n">
        <v>0.12</v>
      </c>
    </row>
    <row r="15" customFormat="false" ht="15" hidden="false" customHeight="false" outlineLevel="0" collapsed="false">
      <c r="A15" s="5" t="s">
        <v>17</v>
      </c>
      <c r="B15" s="8" t="n">
        <v>34400</v>
      </c>
      <c r="C15" s="7" t="n">
        <v>0.04</v>
      </c>
      <c r="D15" s="8" t="n">
        <v>55560</v>
      </c>
      <c r="E15" s="7" t="n">
        <v>0.06</v>
      </c>
      <c r="F15" s="8" t="n">
        <v>78640</v>
      </c>
      <c r="G15" s="7" t="n">
        <v>0.08</v>
      </c>
    </row>
    <row r="16" customFormat="false" ht="15" hidden="false" customHeight="false" outlineLevel="0" collapsed="false">
      <c r="A16" s="5" t="s">
        <v>18</v>
      </c>
      <c r="B16" s="6" t="n">
        <v>25800</v>
      </c>
      <c r="C16" s="7" t="n">
        <v>0.03</v>
      </c>
      <c r="D16" s="6" t="n">
        <v>27780</v>
      </c>
      <c r="E16" s="7" t="n">
        <v>0.03</v>
      </c>
      <c r="F16" s="6" t="n">
        <v>29490</v>
      </c>
      <c r="G16" s="7" t="n">
        <v>0.03</v>
      </c>
    </row>
    <row r="17" customFormat="false" ht="15" hidden="false" customHeight="false" outlineLevel="0" collapsed="false">
      <c r="A17" s="9" t="s">
        <v>19</v>
      </c>
      <c r="B17" s="10" t="n">
        <v>421400</v>
      </c>
      <c r="C17" s="7" t="n">
        <v>0.49</v>
      </c>
      <c r="D17" s="10" t="n">
        <v>472260</v>
      </c>
      <c r="E17" s="7" t="n">
        <v>0.51</v>
      </c>
      <c r="F17" s="10" t="n">
        <v>520990</v>
      </c>
      <c r="G17" s="7" t="n">
        <v>0.53</v>
      </c>
    </row>
    <row r="19" customFormat="false" ht="15" hidden="false" customHeight="false" outlineLevel="0" collapsed="false">
      <c r="A19" s="11" t="s">
        <v>20</v>
      </c>
      <c r="B19" s="12" t="n">
        <f aca="false">B10-B17</f>
        <v>438600</v>
      </c>
      <c r="C19" s="7" t="n">
        <v>0.51</v>
      </c>
      <c r="D19" s="12" t="n">
        <f aca="false">D10-D17</f>
        <v>453740</v>
      </c>
      <c r="E19" s="7" t="n">
        <v>0.49</v>
      </c>
      <c r="F19" s="12" t="n">
        <f aca="false">F10-F17</f>
        <v>462010</v>
      </c>
      <c r="G19" s="7" t="n">
        <v>0.47</v>
      </c>
    </row>
    <row r="21" customFormat="false" ht="15" hidden="false" customHeight="false" outlineLevel="0" collapsed="false">
      <c r="A21" s="4" t="s">
        <v>21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5" t="s">
        <v>22</v>
      </c>
      <c r="B22" s="8" t="n">
        <v>145000</v>
      </c>
      <c r="C22" s="7" t="n">
        <v>0.168604651162791</v>
      </c>
      <c r="D22" s="8" t="n">
        <v>158000</v>
      </c>
      <c r="E22" s="7" t="n">
        <v>0.170626349892009</v>
      </c>
      <c r="F22" s="8" t="n">
        <v>172000</v>
      </c>
      <c r="G22" s="7" t="n">
        <v>0.174974567650051</v>
      </c>
    </row>
    <row r="23" customFormat="false" ht="15" hidden="false" customHeight="false" outlineLevel="0" collapsed="false">
      <c r="A23" s="5" t="s">
        <v>23</v>
      </c>
      <c r="B23" s="6" t="n">
        <v>52000</v>
      </c>
      <c r="C23" s="7" t="n">
        <v>0.0604651162790698</v>
      </c>
      <c r="D23" s="6" t="n">
        <v>54600</v>
      </c>
      <c r="E23" s="7" t="n">
        <v>0.058963282937365</v>
      </c>
      <c r="F23" s="6" t="n">
        <v>57330</v>
      </c>
      <c r="G23" s="7" t="n">
        <v>0.0583214649033571</v>
      </c>
    </row>
    <row r="24" customFormat="false" ht="15" hidden="false" customHeight="false" outlineLevel="0" collapsed="false">
      <c r="A24" s="5" t="s">
        <v>24</v>
      </c>
      <c r="B24" s="6" t="n">
        <v>36000</v>
      </c>
      <c r="C24" s="7" t="n">
        <v>0.0418604651162791</v>
      </c>
      <c r="D24" s="6" t="n">
        <v>36000</v>
      </c>
      <c r="E24" s="7" t="n">
        <v>0.0388768898488121</v>
      </c>
      <c r="F24" s="6" t="n">
        <v>36000</v>
      </c>
      <c r="G24" s="7" t="n">
        <v>0.0366225839267548</v>
      </c>
    </row>
    <row r="25" customFormat="false" ht="15" hidden="false" customHeight="false" outlineLevel="0" collapsed="false">
      <c r="A25" s="5" t="s">
        <v>25</v>
      </c>
      <c r="B25" s="6" t="n">
        <v>18000</v>
      </c>
      <c r="C25" s="7" t="n">
        <v>0.0209302325581395</v>
      </c>
      <c r="D25" s="6" t="n">
        <v>21000</v>
      </c>
      <c r="E25" s="7" t="n">
        <v>0.0226781857451404</v>
      </c>
      <c r="F25" s="6" t="n">
        <v>24500</v>
      </c>
      <c r="G25" s="7" t="n">
        <v>0.0249237029501526</v>
      </c>
    </row>
    <row r="26" customFormat="false" ht="15" hidden="false" customHeight="false" outlineLevel="0" collapsed="false">
      <c r="A26" s="5" t="s">
        <v>26</v>
      </c>
      <c r="B26" s="6" t="n">
        <v>14400</v>
      </c>
      <c r="C26" s="7" t="n">
        <v>0.0167441860465116</v>
      </c>
      <c r="D26" s="6" t="n">
        <v>15120</v>
      </c>
      <c r="E26" s="7" t="n">
        <v>0.0163282937365011</v>
      </c>
      <c r="F26" s="6" t="n">
        <v>15876</v>
      </c>
      <c r="G26" s="7" t="n">
        <v>0.0161505595116989</v>
      </c>
    </row>
    <row r="27" customFormat="false" ht="15" hidden="false" customHeight="false" outlineLevel="0" collapsed="false">
      <c r="A27" s="5" t="s">
        <v>27</v>
      </c>
      <c r="B27" s="6" t="n">
        <v>6200</v>
      </c>
      <c r="C27" s="7" t="n">
        <v>0.0072093023255814</v>
      </c>
      <c r="D27" s="6" t="n">
        <v>7800</v>
      </c>
      <c r="E27" s="7" t="n">
        <v>0.00842332613390929</v>
      </c>
      <c r="F27" s="6" t="n">
        <v>9400</v>
      </c>
      <c r="G27" s="7" t="n">
        <v>0.00956256358087487</v>
      </c>
    </row>
    <row r="28" customFormat="false" ht="15" hidden="false" customHeight="false" outlineLevel="0" collapsed="false">
      <c r="A28" s="5" t="s">
        <v>28</v>
      </c>
      <c r="B28" s="6" t="n">
        <v>22000</v>
      </c>
      <c r="C28" s="7" t="n">
        <v>0.0255813953488372</v>
      </c>
      <c r="D28" s="6" t="n">
        <v>24000</v>
      </c>
      <c r="E28" s="7" t="n">
        <v>0.0259179265658747</v>
      </c>
      <c r="F28" s="6" t="n">
        <v>26000</v>
      </c>
      <c r="G28" s="7" t="n">
        <v>0.0264496439471007</v>
      </c>
    </row>
    <row r="29" customFormat="false" ht="15" hidden="false" customHeight="false" outlineLevel="0" collapsed="false">
      <c r="A29" s="5" t="s">
        <v>29</v>
      </c>
      <c r="B29" s="6" t="n">
        <v>18000</v>
      </c>
      <c r="C29" s="7" t="n">
        <v>0.0209302325581395</v>
      </c>
      <c r="D29" s="6" t="n">
        <v>18000</v>
      </c>
      <c r="E29" s="7" t="n">
        <v>0.0194384449244061</v>
      </c>
      <c r="F29" s="6" t="n">
        <v>18000</v>
      </c>
      <c r="G29" s="7" t="n">
        <v>0.0183112919633774</v>
      </c>
    </row>
    <row r="30" customFormat="false" ht="15" hidden="false" customHeight="false" outlineLevel="0" collapsed="false">
      <c r="A30" s="9" t="s">
        <v>30</v>
      </c>
      <c r="B30" s="10" t="n">
        <v>311600</v>
      </c>
      <c r="C30" s="7" t="n">
        <v>0.362325581395349</v>
      </c>
      <c r="D30" s="10" t="n">
        <v>334520</v>
      </c>
      <c r="E30" s="7" t="n">
        <v>0.361252699784017</v>
      </c>
      <c r="F30" s="10" t="n">
        <v>359106</v>
      </c>
      <c r="G30" s="7" t="n">
        <v>0.365316378433367</v>
      </c>
    </row>
    <row r="32" customFormat="false" ht="15" hidden="false" customHeight="false" outlineLevel="0" collapsed="false">
      <c r="A32" s="11" t="s">
        <v>31</v>
      </c>
      <c r="B32" s="12" t="n">
        <f aca="false">B19-B30+18000</f>
        <v>145000</v>
      </c>
      <c r="C32" s="7" t="n">
        <v>0.168604651162791</v>
      </c>
      <c r="D32" s="12" t="n">
        <f aca="false">D19-D30+18000</f>
        <v>137220</v>
      </c>
      <c r="E32" s="7" t="n">
        <v>0.148185745140389</v>
      </c>
      <c r="F32" s="12" t="n">
        <f aca="false">F19-F30+18000</f>
        <v>120904</v>
      </c>
      <c r="G32" s="7" t="n">
        <v>0.12299491353001</v>
      </c>
    </row>
    <row r="33" customFormat="false" ht="15" hidden="false" customHeight="false" outlineLevel="0" collapsed="false">
      <c r="A33" s="9" t="s">
        <v>32</v>
      </c>
      <c r="B33" s="10" t="n">
        <f aca="false">B19-B30</f>
        <v>127000</v>
      </c>
      <c r="C33" s="7" t="n">
        <v>0.147674418604651</v>
      </c>
      <c r="D33" s="10" t="n">
        <f aca="false">D19-D30</f>
        <v>119220</v>
      </c>
      <c r="E33" s="7" t="n">
        <v>0.128747300215983</v>
      </c>
      <c r="F33" s="10" t="n">
        <f aca="false">F19-F30</f>
        <v>102904</v>
      </c>
      <c r="G33" s="7" t="n">
        <v>0.104683621566633</v>
      </c>
    </row>
    <row r="36" customFormat="false" ht="15" hidden="false" customHeight="false" outlineLevel="0" collapsed="false">
      <c r="A36" s="13" t="s">
        <v>33</v>
      </c>
      <c r="B36" s="13"/>
      <c r="C36" s="13"/>
      <c r="D36" s="13"/>
      <c r="E36" s="13"/>
      <c r="F36" s="13"/>
      <c r="G36" s="13"/>
    </row>
  </sheetData>
  <mergeCells count="6">
    <mergeCell ref="A1:G1"/>
    <mergeCell ref="A2:G2"/>
    <mergeCell ref="A5:G5"/>
    <mergeCell ref="A12:G12"/>
    <mergeCell ref="A21:G21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34</v>
      </c>
      <c r="B1" s="1"/>
      <c r="C1" s="1"/>
      <c r="D1" s="1"/>
    </row>
    <row r="2" customFormat="false" ht="15" hidden="false" customHeight="false" outlineLevel="0" collapsed="false">
      <c r="A2" s="2" t="s">
        <v>35</v>
      </c>
      <c r="B2" s="2"/>
      <c r="C2" s="2"/>
      <c r="D2" s="2"/>
    </row>
    <row r="3" customFormat="false" ht="15" hidden="false" customHeight="false" outlineLevel="0" collapsed="false">
      <c r="A3" s="3"/>
      <c r="B3" s="3" t="s">
        <v>2</v>
      </c>
      <c r="C3" s="3" t="s">
        <v>4</v>
      </c>
      <c r="D3" s="3" t="s">
        <v>6</v>
      </c>
    </row>
    <row r="5" customFormat="false" ht="15" hidden="false" customHeight="false" outlineLevel="0" collapsed="false">
      <c r="A5" s="4" t="s">
        <v>36</v>
      </c>
      <c r="B5" s="4"/>
      <c r="C5" s="4"/>
      <c r="D5" s="4"/>
    </row>
    <row r="6" customFormat="false" ht="15" hidden="false" customHeight="false" outlineLevel="0" collapsed="false">
      <c r="A6" s="4" t="s">
        <v>37</v>
      </c>
      <c r="B6" s="4"/>
      <c r="C6" s="4"/>
      <c r="D6" s="4"/>
    </row>
    <row r="7" customFormat="false" ht="15" hidden="false" customHeight="false" outlineLevel="0" collapsed="false">
      <c r="A7" s="5" t="s">
        <v>38</v>
      </c>
      <c r="B7" s="14" t="n">
        <v>52000</v>
      </c>
      <c r="C7" s="14" t="n">
        <v>48000</v>
      </c>
      <c r="D7" s="14" t="n">
        <v>41000</v>
      </c>
    </row>
    <row r="8" customFormat="false" ht="15" hidden="false" customHeight="false" outlineLevel="0" collapsed="false">
      <c r="A8" s="5" t="s">
        <v>39</v>
      </c>
      <c r="B8" s="14" t="n">
        <v>68000</v>
      </c>
      <c r="C8" s="14" t="n">
        <v>82000</v>
      </c>
      <c r="D8" s="14" t="n">
        <v>98000</v>
      </c>
    </row>
    <row r="9" customFormat="false" ht="15" hidden="false" customHeight="false" outlineLevel="0" collapsed="false">
      <c r="A9" s="5" t="s">
        <v>40</v>
      </c>
      <c r="B9" s="15" t="n">
        <v>24000</v>
      </c>
      <c r="C9" s="15" t="n">
        <v>26000</v>
      </c>
      <c r="D9" s="15" t="n">
        <v>27500</v>
      </c>
    </row>
    <row r="10" customFormat="false" ht="15" hidden="false" customHeight="false" outlineLevel="0" collapsed="false">
      <c r="A10" s="5" t="s">
        <v>41</v>
      </c>
      <c r="B10" s="15" t="n">
        <v>6000</v>
      </c>
      <c r="C10" s="15" t="n">
        <v>6500</v>
      </c>
      <c r="D10" s="15" t="n">
        <v>7000</v>
      </c>
    </row>
    <row r="11" customFormat="false" ht="15" hidden="false" customHeight="false" outlineLevel="0" collapsed="false">
      <c r="A11" s="9" t="s">
        <v>42</v>
      </c>
      <c r="B11" s="10" t="n">
        <v>150000</v>
      </c>
      <c r="C11" s="10" t="n">
        <v>162500</v>
      </c>
      <c r="D11" s="10" t="n">
        <v>173500</v>
      </c>
    </row>
    <row r="13" customFormat="false" ht="15" hidden="false" customHeight="false" outlineLevel="0" collapsed="false">
      <c r="A13" s="4" t="s">
        <v>43</v>
      </c>
      <c r="B13" s="4"/>
      <c r="C13" s="4"/>
      <c r="D13" s="4"/>
    </row>
    <row r="14" customFormat="false" ht="15" hidden="false" customHeight="false" outlineLevel="0" collapsed="false">
      <c r="A14" s="5" t="s">
        <v>44</v>
      </c>
      <c r="B14" s="15" t="n">
        <v>180000</v>
      </c>
      <c r="C14" s="15" t="n">
        <v>180000</v>
      </c>
      <c r="D14" s="15" t="n">
        <v>220000</v>
      </c>
    </row>
    <row r="15" customFormat="false" ht="15" hidden="false" customHeight="false" outlineLevel="0" collapsed="false">
      <c r="A15" s="5" t="s">
        <v>45</v>
      </c>
      <c r="B15" s="15" t="n">
        <v>54000</v>
      </c>
      <c r="C15" s="15" t="n">
        <v>72000</v>
      </c>
      <c r="D15" s="15" t="n">
        <v>90000</v>
      </c>
    </row>
    <row r="16" customFormat="false" ht="15" hidden="false" customHeight="false" outlineLevel="0" collapsed="false">
      <c r="A16" s="5" t="s">
        <v>46</v>
      </c>
      <c r="B16" s="15" t="n">
        <v>38000</v>
      </c>
      <c r="C16" s="15" t="n">
        <v>38000</v>
      </c>
      <c r="D16" s="15" t="n">
        <v>44000</v>
      </c>
    </row>
    <row r="17" customFormat="false" ht="15" hidden="false" customHeight="false" outlineLevel="0" collapsed="false">
      <c r="A17" s="5" t="s">
        <v>45</v>
      </c>
      <c r="B17" s="15" t="n">
        <v>19000</v>
      </c>
      <c r="C17" s="15" t="n">
        <v>26600</v>
      </c>
      <c r="D17" s="15" t="n">
        <v>34200</v>
      </c>
    </row>
    <row r="18" customFormat="false" ht="15" hidden="false" customHeight="false" outlineLevel="0" collapsed="false">
      <c r="A18" s="9" t="s">
        <v>47</v>
      </c>
      <c r="B18" s="10" t="n">
        <v>145000</v>
      </c>
      <c r="C18" s="10" t="n">
        <v>119400</v>
      </c>
      <c r="D18" s="10" t="n">
        <v>139800</v>
      </c>
    </row>
    <row r="20" customFormat="false" ht="15" hidden="false" customHeight="false" outlineLevel="0" collapsed="false">
      <c r="A20" s="11" t="s">
        <v>48</v>
      </c>
      <c r="B20" s="16" t="n">
        <v>295000</v>
      </c>
      <c r="C20" s="16" t="n">
        <v>281900</v>
      </c>
      <c r="D20" s="16" t="n">
        <v>313300</v>
      </c>
    </row>
    <row r="22" customFormat="false" ht="15" hidden="false" customHeight="false" outlineLevel="0" collapsed="false">
      <c r="A22" s="4" t="s">
        <v>49</v>
      </c>
      <c r="B22" s="4"/>
      <c r="C22" s="4"/>
      <c r="D22" s="4"/>
    </row>
    <row r="23" customFormat="false" ht="15" hidden="false" customHeight="false" outlineLevel="0" collapsed="false">
      <c r="A23" s="4" t="s">
        <v>50</v>
      </c>
      <c r="B23" s="4"/>
      <c r="C23" s="4"/>
      <c r="D23" s="4"/>
    </row>
    <row r="24" customFormat="false" ht="15" hidden="false" customHeight="false" outlineLevel="0" collapsed="false">
      <c r="A24" s="5" t="s">
        <v>51</v>
      </c>
      <c r="B24" s="14" t="n">
        <v>18000</v>
      </c>
      <c r="C24" s="14" t="n">
        <v>22000</v>
      </c>
      <c r="D24" s="14" t="n">
        <v>28000</v>
      </c>
    </row>
    <row r="25" customFormat="false" ht="15" hidden="false" customHeight="false" outlineLevel="0" collapsed="false">
      <c r="A25" s="5" t="s">
        <v>52</v>
      </c>
      <c r="B25" s="15" t="n">
        <v>8500</v>
      </c>
      <c r="C25" s="15" t="n">
        <v>9200</v>
      </c>
      <c r="D25" s="15" t="n">
        <v>9800</v>
      </c>
    </row>
    <row r="26" customFormat="false" ht="15" hidden="false" customHeight="false" outlineLevel="0" collapsed="false">
      <c r="A26" s="5" t="s">
        <v>53</v>
      </c>
      <c r="B26" s="14" t="n">
        <v>12000</v>
      </c>
      <c r="C26" s="14" t="n">
        <v>10500</v>
      </c>
      <c r="D26" s="14" t="n">
        <v>9200</v>
      </c>
    </row>
    <row r="27" customFormat="false" ht="15" hidden="false" customHeight="false" outlineLevel="0" collapsed="false">
      <c r="A27" s="5" t="s">
        <v>54</v>
      </c>
      <c r="B27" s="15" t="n">
        <v>22000</v>
      </c>
      <c r="C27" s="15" t="n">
        <v>22000</v>
      </c>
      <c r="D27" s="15" t="n">
        <v>22000</v>
      </c>
    </row>
    <row r="28" customFormat="false" ht="15" hidden="false" customHeight="false" outlineLevel="0" collapsed="false">
      <c r="A28" s="9" t="s">
        <v>55</v>
      </c>
      <c r="B28" s="10" t="n">
        <v>60500</v>
      </c>
      <c r="C28" s="10" t="n">
        <v>63700</v>
      </c>
      <c r="D28" s="10" t="n">
        <v>69000</v>
      </c>
    </row>
    <row r="30" customFormat="false" ht="15" hidden="false" customHeight="false" outlineLevel="0" collapsed="false">
      <c r="A30" s="4" t="s">
        <v>56</v>
      </c>
      <c r="B30" s="4"/>
      <c r="C30" s="4"/>
      <c r="D30" s="4"/>
    </row>
    <row r="31" customFormat="false" ht="15" hidden="false" customHeight="false" outlineLevel="0" collapsed="false">
      <c r="A31" s="5" t="s">
        <v>57</v>
      </c>
      <c r="B31" s="15" t="n">
        <v>88000</v>
      </c>
      <c r="C31" s="15" t="n">
        <v>66000</v>
      </c>
      <c r="D31" s="15" t="n">
        <v>98000</v>
      </c>
    </row>
    <row r="32" customFormat="false" ht="15" hidden="false" customHeight="false" outlineLevel="0" collapsed="false">
      <c r="A32" s="5" t="s">
        <v>58</v>
      </c>
      <c r="B32" s="15" t="n">
        <v>14000</v>
      </c>
      <c r="C32" s="15" t="n">
        <v>10500</v>
      </c>
      <c r="D32" s="15" t="n">
        <v>7000</v>
      </c>
    </row>
    <row r="33" customFormat="false" ht="15" hidden="false" customHeight="false" outlineLevel="0" collapsed="false">
      <c r="A33" s="9" t="s">
        <v>59</v>
      </c>
      <c r="B33" s="10" t="n">
        <v>102000</v>
      </c>
      <c r="C33" s="10" t="n">
        <v>76500</v>
      </c>
      <c r="D33" s="10" t="n">
        <v>105000</v>
      </c>
    </row>
    <row r="35" customFormat="false" ht="15" hidden="false" customHeight="false" outlineLevel="0" collapsed="false">
      <c r="A35" s="11" t="s">
        <v>60</v>
      </c>
      <c r="B35" s="16" t="n">
        <v>162500</v>
      </c>
      <c r="C35" s="16" t="n">
        <v>140200</v>
      </c>
      <c r="D35" s="16" t="n">
        <v>174000</v>
      </c>
    </row>
    <row r="37" customFormat="false" ht="15" hidden="false" customHeight="false" outlineLevel="0" collapsed="false">
      <c r="A37" s="4" t="s">
        <v>61</v>
      </c>
      <c r="B37" s="4"/>
      <c r="C37" s="4"/>
      <c r="D37" s="4"/>
    </row>
    <row r="38" customFormat="false" ht="15" hidden="false" customHeight="false" outlineLevel="0" collapsed="false">
      <c r="A38" s="5" t="s">
        <v>62</v>
      </c>
      <c r="B38" s="15" t="n">
        <v>132500</v>
      </c>
      <c r="C38" s="15" t="n">
        <v>141700</v>
      </c>
      <c r="D38" s="15" t="n">
        <v>139300</v>
      </c>
    </row>
    <row r="39" customFormat="false" ht="15" hidden="false" customHeight="false" outlineLevel="0" collapsed="false">
      <c r="A39" s="9" t="s">
        <v>63</v>
      </c>
      <c r="B39" s="10" t="n">
        <v>132500</v>
      </c>
      <c r="C39" s="10" t="n">
        <v>141700</v>
      </c>
      <c r="D39" s="10" t="n">
        <v>139300</v>
      </c>
    </row>
    <row r="41" customFormat="false" ht="15" hidden="false" customHeight="false" outlineLevel="0" collapsed="false">
      <c r="A41" s="11" t="s">
        <v>64</v>
      </c>
      <c r="B41" s="16" t="n">
        <v>295000</v>
      </c>
      <c r="C41" s="16" t="n">
        <v>281900</v>
      </c>
      <c r="D41" s="16" t="n">
        <v>313300</v>
      </c>
    </row>
    <row r="44" customFormat="false" ht="15" hidden="false" customHeight="false" outlineLevel="0" collapsed="false">
      <c r="A44" s="13" t="s">
        <v>65</v>
      </c>
      <c r="B44" s="13"/>
      <c r="C44" s="13"/>
      <c r="D44" s="13"/>
    </row>
  </sheetData>
  <mergeCells count="10">
    <mergeCell ref="A1:D1"/>
    <mergeCell ref="A2:D2"/>
    <mergeCell ref="A5:D5"/>
    <mergeCell ref="A6:D6"/>
    <mergeCell ref="A13:D13"/>
    <mergeCell ref="A22:D22"/>
    <mergeCell ref="A23:D23"/>
    <mergeCell ref="A30:D30"/>
    <mergeCell ref="A37:D37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66</v>
      </c>
      <c r="B1" s="1"/>
      <c r="C1" s="1"/>
      <c r="D1" s="1"/>
    </row>
    <row r="2" customFormat="false" ht="15" hidden="false" customHeight="false" outlineLevel="0" collapsed="false">
      <c r="A2" s="2" t="s">
        <v>67</v>
      </c>
      <c r="B2" s="2"/>
      <c r="C2" s="2"/>
      <c r="D2" s="2"/>
    </row>
    <row r="3" customFormat="false" ht="15" hidden="false" customHeight="false" outlineLevel="0" collapsed="false">
      <c r="A3" s="3"/>
      <c r="B3" s="3" t="s">
        <v>2</v>
      </c>
      <c r="C3" s="3" t="s">
        <v>4</v>
      </c>
      <c r="D3" s="3" t="s">
        <v>6</v>
      </c>
    </row>
    <row r="5" customFormat="false" ht="15" hidden="false" customHeight="false" outlineLevel="0" collapsed="false">
      <c r="A5" s="4" t="s">
        <v>68</v>
      </c>
      <c r="B5" s="4"/>
      <c r="C5" s="4"/>
      <c r="D5" s="4"/>
    </row>
    <row r="6" customFormat="false" ht="15" hidden="false" customHeight="false" outlineLevel="0" collapsed="false">
      <c r="A6" s="9" t="s">
        <v>69</v>
      </c>
      <c r="B6" s="10" t="n">
        <v>127000</v>
      </c>
      <c r="C6" s="10" t="n">
        <v>119220</v>
      </c>
      <c r="D6" s="10" t="n">
        <v>102904</v>
      </c>
    </row>
    <row r="8" customFormat="false" ht="15" hidden="false" customHeight="false" outlineLevel="0" collapsed="false">
      <c r="A8" s="4" t="s">
        <v>70</v>
      </c>
      <c r="B8" s="4"/>
      <c r="C8" s="4"/>
      <c r="D8" s="4"/>
    </row>
    <row r="9" customFormat="false" ht="15" hidden="false" customHeight="false" outlineLevel="0" collapsed="false">
      <c r="A9" s="5" t="s">
        <v>71</v>
      </c>
      <c r="B9" s="15" t="n">
        <v>18000</v>
      </c>
      <c r="C9" s="15" t="n">
        <v>18000</v>
      </c>
      <c r="D9" s="15" t="n">
        <v>18000</v>
      </c>
    </row>
    <row r="10" customFormat="false" ht="15" hidden="false" customHeight="false" outlineLevel="0" collapsed="false">
      <c r="A10" s="5" t="s">
        <v>72</v>
      </c>
      <c r="B10" s="15" t="n">
        <v>5280</v>
      </c>
      <c r="C10" s="15" t="n">
        <v>3960</v>
      </c>
      <c r="D10" s="15" t="n">
        <v>5880</v>
      </c>
    </row>
    <row r="11" customFormat="false" ht="15" hidden="false" customHeight="false" outlineLevel="0" collapsed="false">
      <c r="A11" s="5" t="s">
        <v>73</v>
      </c>
      <c r="B11" s="15" t="n">
        <v>0</v>
      </c>
      <c r="C11" s="15" t="n">
        <v>12000</v>
      </c>
      <c r="D11" s="15" t="n">
        <v>0</v>
      </c>
    </row>
    <row r="13" customFormat="false" ht="15" hidden="false" customHeight="false" outlineLevel="0" collapsed="false">
      <c r="A13" s="4" t="s">
        <v>74</v>
      </c>
      <c r="B13" s="4"/>
      <c r="C13" s="4"/>
      <c r="D13" s="4"/>
    </row>
    <row r="14" customFormat="false" ht="15" hidden="false" customHeight="false" outlineLevel="0" collapsed="false">
      <c r="A14" s="5" t="s">
        <v>75</v>
      </c>
      <c r="B14" s="14" t="n">
        <v>145000</v>
      </c>
      <c r="C14" s="14" t="n">
        <v>158000</v>
      </c>
      <c r="D14" s="14" t="n">
        <v>172000</v>
      </c>
    </row>
    <row r="15" customFormat="false" ht="15" hidden="false" customHeight="false" outlineLevel="0" collapsed="false">
      <c r="A15" s="5" t="s">
        <v>76</v>
      </c>
      <c r="B15" s="15" t="n">
        <v>8400</v>
      </c>
      <c r="C15" s="15" t="n">
        <v>8820</v>
      </c>
      <c r="D15" s="15" t="n">
        <v>9261</v>
      </c>
    </row>
    <row r="16" customFormat="false" ht="15" hidden="false" customHeight="false" outlineLevel="0" collapsed="false">
      <c r="A16" s="5" t="s">
        <v>77</v>
      </c>
      <c r="B16" s="14" t="n">
        <v>14400</v>
      </c>
      <c r="C16" s="14" t="n">
        <v>14400</v>
      </c>
      <c r="D16" s="14" t="n">
        <v>14400</v>
      </c>
    </row>
    <row r="17" customFormat="false" ht="15" hidden="false" customHeight="false" outlineLevel="0" collapsed="false">
      <c r="A17" s="5" t="s">
        <v>78</v>
      </c>
      <c r="B17" s="15" t="n">
        <v>3600</v>
      </c>
      <c r="C17" s="15" t="n">
        <v>3600</v>
      </c>
      <c r="D17" s="15" t="n">
        <v>3600</v>
      </c>
    </row>
    <row r="18" customFormat="false" ht="15" hidden="false" customHeight="false" outlineLevel="0" collapsed="false">
      <c r="A18" s="5" t="s">
        <v>79</v>
      </c>
      <c r="B18" s="15" t="n">
        <v>18000</v>
      </c>
      <c r="C18" s="15" t="n">
        <v>18000</v>
      </c>
      <c r="D18" s="15" t="n">
        <v>20000</v>
      </c>
    </row>
    <row r="20" customFormat="false" ht="19.5" hidden="false" customHeight="true" outlineLevel="0" collapsed="false">
      <c r="A20" s="17" t="s">
        <v>80</v>
      </c>
      <c r="B20" s="17"/>
      <c r="C20" s="17"/>
      <c r="D20" s="17"/>
    </row>
    <row r="21" customFormat="false" ht="15" hidden="false" customHeight="false" outlineLevel="0" collapsed="false">
      <c r="A21" s="11" t="s">
        <v>81</v>
      </c>
      <c r="B21" s="16" t="n">
        <v>339680</v>
      </c>
      <c r="C21" s="16" t="n">
        <v>355980</v>
      </c>
      <c r="D21" s="16" t="n">
        <v>346045</v>
      </c>
    </row>
    <row r="23" customFormat="false" ht="15" hidden="false" customHeight="false" outlineLevel="0" collapsed="false">
      <c r="A23" s="4" t="s">
        <v>82</v>
      </c>
      <c r="B23" s="4"/>
      <c r="C23" s="4"/>
      <c r="D23" s="4"/>
    </row>
    <row r="24" customFormat="false" ht="15" hidden="false" customHeight="false" outlineLevel="0" collapsed="false">
      <c r="A24" s="5" t="s">
        <v>83</v>
      </c>
      <c r="B24" s="15"/>
      <c r="C24" s="15"/>
      <c r="D24" s="15" t="n">
        <v>346045</v>
      </c>
    </row>
    <row r="25" customFormat="false" ht="15" hidden="false" customHeight="false" outlineLevel="0" collapsed="false">
      <c r="A25" s="5" t="s">
        <v>84</v>
      </c>
      <c r="B25" s="15"/>
      <c r="C25" s="15"/>
      <c r="D25" s="18" t="s">
        <v>85</v>
      </c>
    </row>
    <row r="26" customFormat="false" ht="15" hidden="false" customHeight="false" outlineLevel="0" collapsed="false">
      <c r="A26" s="19" t="s">
        <v>86</v>
      </c>
      <c r="B26" s="10"/>
      <c r="C26" s="10"/>
      <c r="D26" s="20" t="s">
        <v>87</v>
      </c>
    </row>
    <row r="27" customFormat="false" ht="15" hidden="false" customHeight="false" outlineLevel="0" collapsed="false">
      <c r="A27" s="21" t="s">
        <v>88</v>
      </c>
      <c r="B27" s="22"/>
      <c r="C27" s="22"/>
      <c r="D27" s="23" t="s">
        <v>89</v>
      </c>
    </row>
    <row r="30" customFormat="false" ht="45" hidden="false" customHeight="true" outlineLevel="0" collapsed="false">
      <c r="A30" s="24" t="s">
        <v>90</v>
      </c>
      <c r="B30" s="24"/>
      <c r="C30" s="24"/>
      <c r="D30" s="24"/>
    </row>
  </sheetData>
  <mergeCells count="8">
    <mergeCell ref="A1:D1"/>
    <mergeCell ref="A2:D2"/>
    <mergeCell ref="A5:D5"/>
    <mergeCell ref="A8:D8"/>
    <mergeCell ref="A13:D13"/>
    <mergeCell ref="A20:D20"/>
    <mergeCell ref="A23:D23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2026-03-27T22:09:59Z</dcterms:created>
  <dc:creator>openpyxl</dc:creator>
  <dc:description/>
  <dc:language>en-US</dc:language>
  <cp:lastModifiedBy/>
  <dcterms:modified xsi:type="dcterms:W3CDTF">2026-03-27T22:09:59Z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