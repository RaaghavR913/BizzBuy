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tatement" sheetId="1" state="visible" r:id="rId3"/>
    <sheet name="Balance Sheet" sheetId="2" state="visible" r:id="rId4"/>
    <sheet name="SDE Summary" sheetId="3" state="visible" r:id="rId5"/>
    <sheet name="Cash Flow Statement" sheetId="4" state="visible" r:id="rId6"/>
    <sheet name="AR Aging Report" sheetId="5" state="visible" r:id="rId7"/>
    <sheet name="Customer &amp; Contract List" sheetId="6" state="visible" r:id="rId8"/>
    <sheet name="PP&amp;E Sche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<sst xmlns="http://schemas.openxmlformats.org/spreadsheetml/2006/main" count="274" uniqueCount="233">
  <si>
    <t xml:space="preserve">LoneStar Plumbing Solutions — Profit &amp; Loss Statement</t>
  </si>
  <si>
    <t xml:space="preserve">Fiscal Years Ended December 31, 2022 | 2023 | 2024  •  San Antonio, TX</t>
  </si>
  <si>
    <t xml:space="preserve">FY 2022</t>
  </si>
  <si>
    <t xml:space="preserve">FY 2022 %</t>
  </si>
  <si>
    <t xml:space="preserve">FY 2023</t>
  </si>
  <si>
    <t xml:space="preserve">FY 2023 %</t>
  </si>
  <si>
    <t xml:space="preserve">FY 2024</t>
  </si>
  <si>
    <t xml:space="preserve">FY 2024 %</t>
  </si>
  <si>
    <t xml:space="preserve">REVENUE</t>
  </si>
  <si>
    <t xml:space="preserve">D.R. Horton — New Construction (primary)</t>
  </si>
  <si>
    <t xml:space="preserve">Other Homebuilders — New Construction</t>
  </si>
  <si>
    <t xml:space="preserve">Commercial New Construction</t>
  </si>
  <si>
    <t xml:space="preserve">Service &amp; Repair — Residential</t>
  </si>
  <si>
    <t xml:space="preserve">Total Revenue</t>
  </si>
  <si>
    <t xml:space="preserve">COST OF REVENUE</t>
  </si>
  <si>
    <t xml:space="preserve">Labor — Field Plumbers &amp; Apprentices</t>
  </si>
  <si>
    <t xml:space="preserve">Materials &amp; Fixtures</t>
  </si>
  <si>
    <t xml:space="preserve">Subcontractor Costs</t>
  </si>
  <si>
    <t xml:space="preserve">Vehicle &amp; Equipment Operating</t>
  </si>
  <si>
    <t xml:space="preserve">Total Cost of Revenue</t>
  </si>
  <si>
    <t xml:space="preserve">GROSS PROFIT</t>
  </si>
  <si>
    <t xml:space="preserve">OPERATING EXPENSES</t>
  </si>
  <si>
    <t xml:space="preserve">Owner Salary &amp; Benefits</t>
  </si>
  <si>
    <t xml:space="preserve">Office &amp; Admin Staff</t>
  </si>
  <si>
    <t xml:space="preserve">Rent — Office &amp; Warehouse</t>
  </si>
  <si>
    <t xml:space="preserve">Advertising &amp; Marketing</t>
  </si>
  <si>
    <t xml:space="preserve">Insurance (GL, Workers Comp)</t>
  </si>
  <si>
    <t xml:space="preserve">Software &amp; Estimating Tools</t>
  </si>
  <si>
    <t xml:space="preserve">Bad Debt Expense</t>
  </si>
  <si>
    <t xml:space="preserve">General &amp; Administrative</t>
  </si>
  <si>
    <t xml:space="preserve">Depreciation</t>
  </si>
  <si>
    <t xml:space="preserve">Total Operating Expenses</t>
  </si>
  <si>
    <t xml:space="preserve">EBITDA</t>
  </si>
  <si>
    <t xml:space="preserve">NET INCOME</t>
  </si>
  <si>
    <t xml:space="preserve">⚠ RED FLAG 1: D.R. Horton represents 64% of FY2024 revenue ($1.22M of $1.905M). This is a single-customer concentration risk — loss of this contract would be existential. ⚠ RED FLAG 2: Bad debt expense has grown from $13K (1.0% of revenue, 2022) to $38K (2.0% of revenue, 2024), indicating worsening collections. AR aging confirms significant overdue balances.</t>
  </si>
  <si>
    <t xml:space="preserve">LoneStar Plumbing Solutions — Balance Sheet</t>
  </si>
  <si>
    <t xml:space="preserve">As of December 31</t>
  </si>
  <si>
    <t xml:space="preserve">ASSETS</t>
  </si>
  <si>
    <t xml:space="preserve">Current Assets</t>
  </si>
  <si>
    <t xml:space="preserve">Cash &amp; Cash Equivalents</t>
  </si>
  <si>
    <t xml:space="preserve">Accounts Receivable (net)</t>
  </si>
  <si>
    <t xml:space="preserve">Costs in Excess of Billings</t>
  </si>
  <si>
    <t xml:space="preserve">Inventory — Materials</t>
  </si>
  <si>
    <t xml:space="preserve">Prepaid Expenses</t>
  </si>
  <si>
    <t xml:space="preserve">Total Current Assets</t>
  </si>
  <si>
    <t xml:space="preserve">Non-Current Assets</t>
  </si>
  <si>
    <t xml:space="preserve">Service Vehicles &amp; Trucks</t>
  </si>
  <si>
    <t xml:space="preserve">Less: Accumulated Depreciation</t>
  </si>
  <si>
    <t xml:space="preserve">Tools &amp; Equipment</t>
  </si>
  <si>
    <t xml:space="preserve">Total PP&amp;E (Net)</t>
  </si>
  <si>
    <t xml:space="preserve">TOTAL ASSETS</t>
  </si>
  <si>
    <t xml:space="preserve">LIABILITIES</t>
  </si>
  <si>
    <t xml:space="preserve">Current Liabilities</t>
  </si>
  <si>
    <t xml:space="preserve">Accounts Payable</t>
  </si>
  <si>
    <t xml:space="preserve">Accrued Wages</t>
  </si>
  <si>
    <t xml:space="preserve">Billings in Excess of Costs</t>
  </si>
  <si>
    <t xml:space="preserve">Current Portion — Vehicle Loan</t>
  </si>
  <si>
    <t xml:space="preserve">Line of Credit (drawn)</t>
  </si>
  <si>
    <t xml:space="preserve">Total Current Liabilities</t>
  </si>
  <si>
    <t xml:space="preserve">Long-Term Liabilities</t>
  </si>
  <si>
    <t xml:space="preserve">Vehicle Loan (net of current)</t>
  </si>
  <si>
    <t xml:space="preserve">Equipment Financing</t>
  </si>
  <si>
    <t xml:space="preserve">Total Long-Term Liabilities</t>
  </si>
  <si>
    <t xml:space="preserve">TOTAL LIABILITIES</t>
  </si>
  <si>
    <t xml:space="preserve">OWNER'S EQUITY</t>
  </si>
  <si>
    <t xml:space="preserve">Owner's Capital</t>
  </si>
  <si>
    <t xml:space="preserve">Total Owner's Equity</t>
  </si>
  <si>
    <t xml:space="preserve">TOTAL LIABILITIES &amp; EQUITY</t>
  </si>
  <si>
    <t xml:space="preserve">⚠ RED FLAG: Accounts Receivable has grown from $218K (2022) to $487K (2024) — a 123% increase while revenue grew 47%. AR as % of revenue: 16.8% (2022) → 25.6% (2024). Line of credit has grown from $40K to $98K drawn, suggesting the business is borrowing to fund operations due to slow collections.</t>
  </si>
  <si>
    <t xml:space="preserve">LoneStar Plumbing Solutions — SDE / EBITDA Analysis</t>
  </si>
  <si>
    <t xml:space="preserve">Prepared by Owner — March 2025  |  PE-Grade Add-Back Schedule</t>
  </si>
  <si>
    <t xml:space="preserve">STEP 1 — NET INCOME</t>
  </si>
  <si>
    <t xml:space="preserve">Net Income (per P&amp;L)</t>
  </si>
  <si>
    <t xml:space="preserve">STEP 2 — NON-CASH &amp; ONE-TIME ADD-BACKS</t>
  </si>
  <si>
    <t xml:space="preserve">Depreciation &amp; Amortization</t>
  </si>
  <si>
    <t xml:space="preserve">Interest Expense (vehicle loans + LOC)</t>
  </si>
  <si>
    <t xml:space="preserve">Bad Debt Expense (add back — owner claims one-time)</t>
  </si>
  <si>
    <t xml:space="preserve">One-Time Equipment Repair</t>
  </si>
  <si>
    <t xml:space="preserve">STEP 3 — OWNER ADD-BACKS</t>
  </si>
  <si>
    <t xml:space="preserve">Owner Health Insurance</t>
  </si>
  <si>
    <t xml:space="preserve">Owner Auto (personal use portion)</t>
  </si>
  <si>
    <t xml:space="preserve">Owner Phone &amp; Personal Expenses</t>
  </si>
  <si>
    <t xml:space="preserve">Owner Retirement (SEP-IRA)</t>
  </si>
  <si>
    <t xml:space="preserve">TOTAL SELLER'S DISCRETIONARY EARNINGS</t>
  </si>
  <si>
    <t xml:space="preserve">Total SDE (Owner's Calculation)</t>
  </si>
  <si>
    <t xml:space="preserve">PE BUYER ADJUSTMENT — NORMALIZED EBITDA</t>
  </si>
  <si>
    <t xml:space="preserve">Total SDE (as above)</t>
  </si>
  <si>
    <t xml:space="preserve">Less: Market-Rate Manager Salary (replace owner @$95K)</t>
  </si>
  <si>
    <t xml:space="preserve">Less: Bad Debt Normalized (1.0% of rev — not one-time)</t>
  </si>
  <si>
    <t xml:space="preserve">Less: Owner Auto (non-deductible personal)</t>
  </si>
  <si>
    <t xml:space="preserve">Normalized EBITDA (PE View)</t>
  </si>
  <si>
    <t xml:space="preserve">INDICATIVE VALUATION</t>
  </si>
  <si>
    <t xml:space="preserve">Trailing 12M Normalized EBITDA</t>
  </si>
  <si>
    <t xml:space="preserve">Applied Multiple (3.5x – 4.5x)</t>
  </si>
  <si>
    <t xml:space="preserve">3.5x – 4.5x</t>
  </si>
  <si>
    <t xml:space="preserve">Estimated Enterprise Value</t>
  </si>
  <si>
    <t xml:space="preserve">$2.44M – $3.14M</t>
  </si>
  <si>
    <t xml:space="preserve">Asking Price</t>
  </si>
  <si>
    <t xml:space="preserve">$3,200,000</t>
  </si>
  <si>
    <t xml:space="preserve">⚠ Owner is adding back bad debt expense as 'one-time' — this is not accurate. Bad debt has occurred every year and is growing. PE-adjusted EBITDA should reflect normalized bad debt at ~1% of revenue. Asking price of $3.2M implies 4.6x normalized EBITDA — at the top of the range and not justified given concentration risk.</t>
  </si>
  <si>
    <t xml:space="preserve">LoneStar Plumbing Solutions — Statement of Cash Flows</t>
  </si>
  <si>
    <t xml:space="preserve">For Fiscal Years Ended December 31, 2022 | 2023 | 2024</t>
  </si>
  <si>
    <t xml:space="preserve">OPERATING ACTIVITIES</t>
  </si>
  <si>
    <t xml:space="preserve">Net Income</t>
  </si>
  <si>
    <t xml:space="preserve">Add: Depreciation</t>
  </si>
  <si>
    <t xml:space="preserve">(Increase) in Accounts Receivable</t>
  </si>
  <si>
    <t xml:space="preserve">(Increase) in Costs in Excess</t>
  </si>
  <si>
    <t xml:space="preserve">(Increase) in Inventory</t>
  </si>
  <si>
    <t xml:space="preserve">Increase in Accounts Payable</t>
  </si>
  <si>
    <t xml:space="preserve">Increase in Accrued Wages</t>
  </si>
  <si>
    <t xml:space="preserve">Net Cash from Operations</t>
  </si>
  <si>
    <t xml:space="preserve">INVESTING ACTIVITIES</t>
  </si>
  <si>
    <t xml:space="preserve">Purchase of Vehicles</t>
  </si>
  <si>
    <t xml:space="preserve">Purchase of Equipment</t>
  </si>
  <si>
    <t xml:space="preserve">Net Cash from Investing</t>
  </si>
  <si>
    <t xml:space="preserve">FINANCING ACTIVITIES</t>
  </si>
  <si>
    <t xml:space="preserve">Draws by Owner</t>
  </si>
  <si>
    <t xml:space="preserve">Net Borrowings — Line of Credit</t>
  </si>
  <si>
    <t xml:space="preserve">Vehicle Loan Proceeds / (Payments)</t>
  </si>
  <si>
    <t xml:space="preserve">Equipment Financing (Payments)</t>
  </si>
  <si>
    <t xml:space="preserve">Net Cash from Financing</t>
  </si>
  <si>
    <t xml:space="preserve">NET CHANGE IN CASH</t>
  </si>
  <si>
    <t xml:space="preserve">Beginning Cash Balance</t>
  </si>
  <si>
    <t xml:space="preserve">Ending Cash Balance</t>
  </si>
  <si>
    <t xml:space="preserve">⚠ Despite strong net income growth, the business consumed $175K in AR alone in FY2024 — cash from operations is being absorbed by slow collections. Owner drew $347K in FY2024 while the business drew $98K on its LOC. Ending cash fell to $48K in FY2024 despite $543K net income, directly attributable to AR growth.</t>
  </si>
  <si>
    <t xml:space="preserve">LoneStar Plumbing Solutions — Accounts Receivable Aging Report</t>
  </si>
  <si>
    <t xml:space="preserve">As of December 31, 2024  |  Terms: Net 30  |  Average Collection Days: 67  (Industry Norm: 30–45)</t>
  </si>
  <si>
    <t xml:space="preserve">Customer / Project</t>
  </si>
  <si>
    <t xml:space="preserve">Total Balance</t>
  </si>
  <si>
    <t xml:space="preserve">Current
(0–30 days)</t>
  </si>
  <si>
    <t xml:space="preserve">31–60 Days</t>
  </si>
  <si>
    <t xml:space="preserve">61–90 Days</t>
  </si>
  <si>
    <t xml:space="preserve">91–120 Days</t>
  </si>
  <si>
    <t xml:space="preserve">&gt;120 Days</t>
  </si>
  <si>
    <t xml:space="preserve">Status / Notes</t>
  </si>
  <si>
    <t xml:space="preserve">D.R. Horton — Job #TX-2401</t>
  </si>
  <si>
    <t xml:space="preserve">Paying slowly — 45-day avg</t>
  </si>
  <si>
    <t xml:space="preserve">D.R. Horton — Job #TX-2398</t>
  </si>
  <si>
    <t xml:space="preserve">90+ days. Disputed change order $30K</t>
  </si>
  <si>
    <t xml:space="preserve">D.R. Horton — Job #TX-2391</t>
  </si>
  <si>
    <t xml:space="preserve">120+ days. Under dispute.</t>
  </si>
  <si>
    <t xml:space="preserve">Crestview Builders</t>
  </si>
  <si>
    <t xml:space="preserve">New client — slow to set up AP</t>
  </si>
  <si>
    <t xml:space="preserve">Magnolia Home Builders</t>
  </si>
  <si>
    <t xml:space="preserve">Paying ~45 days</t>
  </si>
  <si>
    <t xml:space="preserve">TexStar Commercial LLC</t>
  </si>
  <si>
    <t xml:space="preserve">Commercial — extended terms requested</t>
  </si>
  <si>
    <t xml:space="preserve">Alamo Construction Group</t>
  </si>
  <si>
    <t xml:space="preserve">Current</t>
  </si>
  <si>
    <t xml:space="preserve">Other (28 accounts)</t>
  </si>
  <si>
    <t xml:space="preserve">Mix of current and slightly late</t>
  </si>
  <si>
    <t xml:space="preserve">TOTAL</t>
  </si>
  <si>
    <t xml:space="preserve">Avg Days Outstanding: 67</t>
  </si>
  <si>
    <t xml:space="preserve">⚠ RED FLAG: $86K (17.6% of total AR) is aged 91+ days. D.R. Horton accounts for $274K of the $487K AR balance (56%) — concentration risk extends to receivables, not just revenue. Two D.R. Horton jobs have disputed invoices totaling ~$44K. Bad debt reserve is likely understated.</t>
  </si>
  <si>
    <t xml:space="preserve">LoneStar Plumbing Solutions — Customer &amp; Contract Summary</t>
  </si>
  <si>
    <t xml:space="preserve">As of March 2025  |  CONFIDENTIAL — Qualified Buyers Only  |  Full Contracts Released Post-LOI</t>
  </si>
  <si>
    <t xml:space="preserve">Customer</t>
  </si>
  <si>
    <t xml:space="preserve">Type</t>
  </si>
  <si>
    <t xml:space="preserve">Location</t>
  </si>
  <si>
    <t xml:space="preserve">Contract Type</t>
  </si>
  <si>
    <t xml:space="preserve">2024 Revenue</t>
  </si>
  <si>
    <t xml:space="preserve">% of Total</t>
  </si>
  <si>
    <t xml:space="preserve">Contract Expiry</t>
  </si>
  <si>
    <t xml:space="preserve">Renewal Terms</t>
  </si>
  <si>
    <t xml:space="preserve">Notes</t>
  </si>
  <si>
    <t xml:space="preserve">D.R. Horton</t>
  </si>
  <si>
    <t xml:space="preserve">Homebuilder</t>
  </si>
  <si>
    <t xml:space="preserve">San Antonio Metro</t>
  </si>
  <si>
    <t xml:space="preserve">Master Subcontract</t>
  </si>
  <si>
    <t xml:space="preserve">Dec 2025</t>
  </si>
  <si>
    <t xml:space="preserve">Annual renegotiation</t>
  </si>
  <si>
    <t xml:space="preserve">CRITICAL: Verbal relationship. No multi-year guarantee. Contract renegotiated annually. Owner's personal relationship with DHI regional mgr.</t>
  </si>
  <si>
    <t xml:space="preserve">New Braunfels, TX</t>
  </si>
  <si>
    <t xml:space="preserve">Per-Job PO</t>
  </si>
  <si>
    <t xml:space="preserve">N/A</t>
  </si>
  <si>
    <t xml:space="preserve">Project basis</t>
  </si>
  <si>
    <t xml:space="preserve">2nd year relationship. Growing.</t>
  </si>
  <si>
    <t xml:space="preserve">San Marcos, TX</t>
  </si>
  <si>
    <t xml:space="preserve">Reliable. ~3 projects/yr.</t>
  </si>
  <si>
    <t xml:space="preserve">Alamo Construction</t>
  </si>
  <si>
    <t xml:space="preserve">Commercial</t>
  </si>
  <si>
    <t xml:space="preserve">San Antonio, TX</t>
  </si>
  <si>
    <t xml:space="preserve">Commercial — irregular volume.</t>
  </si>
  <si>
    <t xml:space="preserve">TexStar Commercial</t>
  </si>
  <si>
    <t xml:space="preserve">Austin, TX</t>
  </si>
  <si>
    <t xml:space="preserve">Preferred Vendor</t>
  </si>
  <si>
    <t xml:space="preserve">Jun 2025</t>
  </si>
  <si>
    <t xml:space="preserve">1-yr renewal option</t>
  </si>
  <si>
    <t xml:space="preserve">Preferred vendor status unconfirmed for 2026.</t>
  </si>
  <si>
    <t xml:space="preserve">Other (14 customers)</t>
  </si>
  <si>
    <t xml:space="preserve">Mixed</t>
  </si>
  <si>
    <t xml:space="preserve">Various TX</t>
  </si>
  <si>
    <t xml:space="preserve">Various</t>
  </si>
  <si>
    <t xml:space="preserve">Small accounts. No individual &gt;$30K.</t>
  </si>
  <si>
    <t xml:space="preserve">⚠ RED FLAG: D.R. Horton = 64% of revenue. Contract is annual and based on personal relationship between owner and a regional DHI manager. If owner exits or DHI manager changes, there is NO contractual protection. A new buyer has NO guaranteed continuation of this relationship.</t>
  </si>
  <si>
    <t xml:space="preserve">LoneStar Plumbing Solutions — PP&amp;E Schedule</t>
  </si>
  <si>
    <t xml:space="preserve">As of December 31, 2024  |  All Assets Included in Sale Unless Noted</t>
  </si>
  <si>
    <t xml:space="preserve">Asset</t>
  </si>
  <si>
    <t xml:space="preserve">Year</t>
  </si>
  <si>
    <t xml:space="preserve">Cost</t>
  </si>
  <si>
    <t xml:space="preserve">Accum Depr</t>
  </si>
  <si>
    <t xml:space="preserve">Book Value</t>
  </si>
  <si>
    <t xml:space="preserve">Est FMV</t>
  </si>
  <si>
    <t xml:space="preserve">In Sale?</t>
  </si>
  <si>
    <t xml:space="preserve">2020 Ford F-250 Work Truck</t>
  </si>
  <si>
    <t xml:space="preserve">Yes</t>
  </si>
  <si>
    <t xml:space="preserve">High mileage 182K</t>
  </si>
  <si>
    <t xml:space="preserve">2021 Ford F-250 Work Truck</t>
  </si>
  <si>
    <t xml:space="preserve">Good condition</t>
  </si>
  <si>
    <t xml:space="preserve">2022 Ram 2500 Tradesman</t>
  </si>
  <si>
    <t xml:space="preserve">2023 Ram 2500 (new)</t>
  </si>
  <si>
    <t xml:space="preserve">Near new</t>
  </si>
  <si>
    <t xml:space="preserve">2024 Ford Transit Cargo Van</t>
  </si>
  <si>
    <t xml:space="preserve">New — loan outstanding</t>
  </si>
  <si>
    <t xml:space="preserve">Pipe Threading Machine</t>
  </si>
  <si>
    <t xml:space="preserve">Functional</t>
  </si>
  <si>
    <t xml:space="preserve">Drain Camera System</t>
  </si>
  <si>
    <t xml:space="preserve">Good</t>
  </si>
  <si>
    <t xml:space="preserve">Hydro-Jetter Unit</t>
  </si>
  <si>
    <t xml:space="preserve">Pipe Fusion Machine</t>
  </si>
  <si>
    <t xml:space="preserve">Hand Tools &amp; Power Tools</t>
  </si>
  <si>
    <t xml:space="preserve">Various condition</t>
  </si>
  <si>
    <t xml:space="preserve">Office Furniture &amp; Equipment</t>
  </si>
  <si>
    <t xml:space="preserve">Basic</t>
  </si>
  <si>
    <t xml:space="preserve">Computers &amp; Software</t>
  </si>
  <si>
    <t xml:space="preserve">2 workstations + estimating SW</t>
  </si>
  <si>
    <t xml:space="preserve">Warehouse Shelving</t>
  </si>
  <si>
    <t xml:space="preserve">Standard</t>
  </si>
  <si>
    <t xml:space="preserve">Owner Personal Truck (F-350)</t>
  </si>
  <si>
    <t xml:space="preserve">NO</t>
  </si>
  <si>
    <t xml:space="preserve">Personal — NOT in sale. Partial business use claimed on taxes.</t>
  </si>
  <si>
    <t xml:space="preserve">TOTALS (excl. personal truck)</t>
  </si>
  <si>
    <t xml:space="preserve">Note: 2024 Ford Transit has an outstanding vehicle loan of ~$38K. Owner's personal F-350 is NOT included in the sale — buyer should verify that all vehicle operating expenses claimed on taxes reconcile with business-use vehicles only.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</si>
</sst>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EAFAF1"/>
      </patternFill>
    </fill>
    <fill>
      <patternFill patternType="solid">
        <fgColor rgb="FFFFF2CC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AED6F1"/>
        <bgColor rgb="FFCCCCCC"/>
      </patternFill>
    </fill>
    <fill>
      <patternFill patternType="solid">
        <fgColor rgb="FFF5F5F5"/>
        <bgColor rgb="FFEAFAF1"/>
      </patternFill>
    </fill>
    <fill>
      <patternFill patternType="solid">
        <fgColor rgb="FFEAFAF1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AFAF1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AED6F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5" customFormat="false" ht="15" hidden="false" customHeight="false" outlineLevel="0" collapsed="false">
      <c r="A5" s="5" t="s">
        <v>8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9</v>
      </c>
      <c r="B6" s="7" t="n">
        <v>688000</v>
      </c>
      <c r="C6" s="8" t="n">
        <v>0.530046224961479</v>
      </c>
      <c r="D6" s="7" t="n">
        <v>891000</v>
      </c>
      <c r="E6" s="8" t="n">
        <v>0.575953458306399</v>
      </c>
      <c r="F6" s="7" t="n">
        <v>1218000</v>
      </c>
      <c r="G6" s="8" t="n">
        <v>0.639370078740158</v>
      </c>
    </row>
    <row r="7" customFormat="false" ht="15" hidden="false" customHeight="false" outlineLevel="0" collapsed="false">
      <c r="A7" s="9" t="s">
        <v>10</v>
      </c>
      <c r="B7" s="10" t="n">
        <v>312000</v>
      </c>
      <c r="C7" s="8" t="n">
        <v>0.240369799691834</v>
      </c>
      <c r="D7" s="10" t="n">
        <v>362000</v>
      </c>
      <c r="E7" s="8" t="n">
        <v>0.234001292824822</v>
      </c>
      <c r="F7" s="10" t="n">
        <v>401000</v>
      </c>
      <c r="G7" s="8" t="n">
        <v>0.210498687664042</v>
      </c>
    </row>
    <row r="8" customFormat="false" ht="15" hidden="false" customHeight="false" outlineLevel="0" collapsed="false">
      <c r="A8" s="9" t="s">
        <v>11</v>
      </c>
      <c r="B8" s="10" t="n">
        <v>210000</v>
      </c>
      <c r="C8" s="8" t="n">
        <v>0.161787365177196</v>
      </c>
      <c r="D8" s="10" t="n">
        <v>198000</v>
      </c>
      <c r="E8" s="8" t="n">
        <v>0.127989657401422</v>
      </c>
      <c r="F8" s="10" t="n">
        <v>182000</v>
      </c>
      <c r="G8" s="8" t="n">
        <v>0.0955380577427822</v>
      </c>
    </row>
    <row r="9" customFormat="false" ht="15" hidden="false" customHeight="false" outlineLevel="0" collapsed="false">
      <c r="A9" s="9" t="s">
        <v>12</v>
      </c>
      <c r="B9" s="10" t="n">
        <v>88000</v>
      </c>
      <c r="C9" s="8" t="n">
        <v>0.0677966101694915</v>
      </c>
      <c r="D9" s="10" t="n">
        <v>96000</v>
      </c>
      <c r="E9" s="8" t="n">
        <v>0.0620555914673562</v>
      </c>
      <c r="F9" s="10" t="n">
        <v>104000</v>
      </c>
      <c r="G9" s="8" t="n">
        <v>0.0545931758530184</v>
      </c>
    </row>
    <row r="10" customFormat="false" ht="15" hidden="false" customHeight="false" outlineLevel="0" collapsed="false">
      <c r="A10" s="11" t="s">
        <v>13</v>
      </c>
      <c r="B10" s="12" t="n">
        <v>1298000</v>
      </c>
      <c r="C10" s="8" t="n">
        <v>1</v>
      </c>
      <c r="D10" s="12" t="n">
        <v>1547000</v>
      </c>
      <c r="E10" s="8" t="n">
        <v>1</v>
      </c>
      <c r="F10" s="12" t="n">
        <v>1905000</v>
      </c>
      <c r="G10" s="8" t="n">
        <v>1</v>
      </c>
    </row>
    <row r="12" customFormat="false" ht="15" hidden="false" customHeight="false" outlineLevel="0" collapsed="false">
      <c r="A12" s="5" t="s">
        <v>14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9" t="s">
        <v>15</v>
      </c>
      <c r="B13" s="10" t="n">
        <v>390000</v>
      </c>
      <c r="C13" s="8" t="n">
        <v>0.300462249614792</v>
      </c>
      <c r="D13" s="10" t="n">
        <v>464000</v>
      </c>
      <c r="E13" s="8" t="n">
        <v>0.299935358758888</v>
      </c>
      <c r="F13" s="10" t="n">
        <v>572000</v>
      </c>
      <c r="G13" s="8" t="n">
        <v>0.300262467191601</v>
      </c>
    </row>
    <row r="14" customFormat="false" ht="15" hidden="false" customHeight="false" outlineLevel="0" collapsed="false">
      <c r="A14" s="9" t="s">
        <v>16</v>
      </c>
      <c r="B14" s="10" t="n">
        <v>194000</v>
      </c>
      <c r="C14" s="8" t="n">
        <v>0.149460708782743</v>
      </c>
      <c r="D14" s="10" t="n">
        <v>232000</v>
      </c>
      <c r="E14" s="8" t="n">
        <v>0.149967679379444</v>
      </c>
      <c r="F14" s="10" t="n">
        <v>286000</v>
      </c>
      <c r="G14" s="8" t="n">
        <v>0.150131233595801</v>
      </c>
    </row>
    <row r="15" customFormat="false" ht="15" hidden="false" customHeight="false" outlineLevel="0" collapsed="false">
      <c r="A15" s="9" t="s">
        <v>17</v>
      </c>
      <c r="B15" s="10" t="n">
        <v>39000</v>
      </c>
      <c r="C15" s="8" t="n">
        <v>0.0300462249614792</v>
      </c>
      <c r="D15" s="10" t="n">
        <v>46000</v>
      </c>
      <c r="E15" s="8" t="n">
        <v>0.0297349709114415</v>
      </c>
      <c r="F15" s="10" t="n">
        <v>57000</v>
      </c>
      <c r="G15" s="8" t="n">
        <v>0.0299212598425197</v>
      </c>
    </row>
    <row r="16" customFormat="false" ht="15" hidden="false" customHeight="false" outlineLevel="0" collapsed="false">
      <c r="A16" s="9" t="s">
        <v>18</v>
      </c>
      <c r="B16" s="10" t="n">
        <v>26000</v>
      </c>
      <c r="C16" s="8" t="n">
        <v>0.0200308166409861</v>
      </c>
      <c r="D16" s="10" t="n">
        <v>31000</v>
      </c>
      <c r="E16" s="8" t="n">
        <v>0.0200387847446671</v>
      </c>
      <c r="F16" s="10" t="n">
        <v>38000</v>
      </c>
      <c r="G16" s="8" t="n">
        <v>0.0199475065616798</v>
      </c>
    </row>
    <row r="17" customFormat="false" ht="15" hidden="false" customHeight="false" outlineLevel="0" collapsed="false">
      <c r="A17" s="11" t="s">
        <v>19</v>
      </c>
      <c r="B17" s="12" t="n">
        <v>649000</v>
      </c>
      <c r="C17" s="8" t="n">
        <v>0.5</v>
      </c>
      <c r="D17" s="12" t="n">
        <v>773000</v>
      </c>
      <c r="E17" s="8" t="n">
        <v>0.499676793794441</v>
      </c>
      <c r="F17" s="12" t="n">
        <v>953000</v>
      </c>
      <c r="G17" s="8" t="n">
        <v>0.500262467191601</v>
      </c>
    </row>
    <row r="19" customFormat="false" ht="15" hidden="false" customHeight="false" outlineLevel="0" collapsed="false">
      <c r="A19" s="13" t="s">
        <v>20</v>
      </c>
      <c r="B19" s="14" t="n">
        <f aca="false">B10-B17</f>
        <v>649000</v>
      </c>
      <c r="C19" s="8" t="n">
        <v>0.5</v>
      </c>
      <c r="D19" s="14" t="n">
        <f aca="false">D10-D17</f>
        <v>774000</v>
      </c>
      <c r="E19" s="8" t="n">
        <v>0.500323206205559</v>
      </c>
      <c r="F19" s="14" t="n">
        <f aca="false">F10-F17</f>
        <v>952000</v>
      </c>
      <c r="G19" s="8" t="n">
        <v>0.499737532808399</v>
      </c>
    </row>
    <row r="21" customFormat="false" ht="15" hidden="false" customHeight="false" outlineLevel="0" collapsed="false">
      <c r="A21" s="5" t="s">
        <v>21</v>
      </c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9" t="s">
        <v>22</v>
      </c>
      <c r="B22" s="10" t="n">
        <v>120000</v>
      </c>
      <c r="C22" s="8" t="n">
        <v>0.0924499229583975</v>
      </c>
      <c r="D22" s="10" t="n">
        <v>132000</v>
      </c>
      <c r="E22" s="8" t="n">
        <v>0.0853264382676147</v>
      </c>
      <c r="F22" s="10" t="n">
        <v>148000</v>
      </c>
      <c r="G22" s="8" t="n">
        <v>0.0776902887139108</v>
      </c>
    </row>
    <row r="23" customFormat="false" ht="15" hidden="false" customHeight="false" outlineLevel="0" collapsed="false">
      <c r="A23" s="9" t="s">
        <v>23</v>
      </c>
      <c r="B23" s="10" t="n">
        <v>62000</v>
      </c>
      <c r="C23" s="8" t="n">
        <v>0.0477657935285054</v>
      </c>
      <c r="D23" s="10" t="n">
        <v>68000</v>
      </c>
      <c r="E23" s="8" t="n">
        <v>0.043956043956044</v>
      </c>
      <c r="F23" s="10" t="n">
        <v>74000</v>
      </c>
      <c r="G23" s="8" t="n">
        <v>0.0388451443569554</v>
      </c>
    </row>
    <row r="24" customFormat="false" ht="15" hidden="false" customHeight="false" outlineLevel="0" collapsed="false">
      <c r="A24" s="9" t="s">
        <v>24</v>
      </c>
      <c r="B24" s="10" t="n">
        <v>30000</v>
      </c>
      <c r="C24" s="8" t="n">
        <v>0.0231124807395994</v>
      </c>
      <c r="D24" s="10" t="n">
        <v>30000</v>
      </c>
      <c r="E24" s="8" t="n">
        <v>0.0193923723335488</v>
      </c>
      <c r="F24" s="10" t="n">
        <v>30000</v>
      </c>
      <c r="G24" s="8" t="n">
        <v>0.015748031496063</v>
      </c>
    </row>
    <row r="25" customFormat="false" ht="15" hidden="false" customHeight="false" outlineLevel="0" collapsed="false">
      <c r="A25" s="9" t="s">
        <v>25</v>
      </c>
      <c r="B25" s="10" t="n">
        <v>14000</v>
      </c>
      <c r="C25" s="8" t="n">
        <v>0.0107858243451464</v>
      </c>
      <c r="D25" s="10" t="n">
        <v>18000</v>
      </c>
      <c r="E25" s="8" t="n">
        <v>0.0116354234001293</v>
      </c>
      <c r="F25" s="10" t="n">
        <v>22000</v>
      </c>
      <c r="G25" s="8" t="n">
        <v>0.0115485564304462</v>
      </c>
    </row>
    <row r="26" customFormat="false" ht="15" hidden="false" customHeight="false" outlineLevel="0" collapsed="false">
      <c r="A26" s="9" t="s">
        <v>26</v>
      </c>
      <c r="B26" s="10" t="n">
        <v>28000</v>
      </c>
      <c r="C26" s="8" t="n">
        <v>0.0215716486902928</v>
      </c>
      <c r="D26" s="10" t="n">
        <v>31000</v>
      </c>
      <c r="E26" s="8" t="n">
        <v>0.0200387847446671</v>
      </c>
      <c r="F26" s="10" t="n">
        <v>36000</v>
      </c>
      <c r="G26" s="8" t="n">
        <v>0.0188976377952756</v>
      </c>
    </row>
    <row r="27" customFormat="false" ht="15" hidden="false" customHeight="false" outlineLevel="0" collapsed="false">
      <c r="A27" s="9" t="s">
        <v>27</v>
      </c>
      <c r="B27" s="10" t="n">
        <v>5800</v>
      </c>
      <c r="C27" s="8" t="n">
        <v>0.00446841294298921</v>
      </c>
      <c r="D27" s="10" t="n">
        <v>7200</v>
      </c>
      <c r="E27" s="8" t="n">
        <v>0.00465416936005171</v>
      </c>
      <c r="F27" s="10" t="n">
        <v>9100</v>
      </c>
      <c r="G27" s="8" t="n">
        <v>0.00477690288713911</v>
      </c>
    </row>
    <row r="28" customFormat="false" ht="15" hidden="false" customHeight="false" outlineLevel="0" collapsed="false">
      <c r="A28" s="6" t="s">
        <v>28</v>
      </c>
      <c r="B28" s="7" t="n">
        <v>12980</v>
      </c>
      <c r="C28" s="8" t="n">
        <v>0.01</v>
      </c>
      <c r="D28" s="7" t="n">
        <v>23205</v>
      </c>
      <c r="E28" s="8" t="n">
        <v>0.015</v>
      </c>
      <c r="F28" s="7" t="n">
        <v>38100</v>
      </c>
      <c r="G28" s="8" t="n">
        <v>0.02</v>
      </c>
    </row>
    <row r="29" customFormat="false" ht="15" hidden="false" customHeight="false" outlineLevel="0" collapsed="false">
      <c r="A29" s="9" t="s">
        <v>29</v>
      </c>
      <c r="B29" s="10" t="n">
        <v>18000</v>
      </c>
      <c r="C29" s="8" t="n">
        <v>0.0138674884437596</v>
      </c>
      <c r="D29" s="10" t="n">
        <v>21000</v>
      </c>
      <c r="E29" s="8" t="n">
        <v>0.0135746606334842</v>
      </c>
      <c r="F29" s="10" t="n">
        <v>24000</v>
      </c>
      <c r="G29" s="8" t="n">
        <v>0.0125984251968504</v>
      </c>
    </row>
    <row r="30" customFormat="false" ht="15" hidden="false" customHeight="false" outlineLevel="0" collapsed="false">
      <c r="A30" s="9" t="s">
        <v>30</v>
      </c>
      <c r="B30" s="10" t="n">
        <v>22000</v>
      </c>
      <c r="C30" s="8" t="n">
        <v>0.0169491525423729</v>
      </c>
      <c r="D30" s="10" t="n">
        <v>22000</v>
      </c>
      <c r="E30" s="8" t="n">
        <v>0.0142210730446025</v>
      </c>
      <c r="F30" s="10" t="n">
        <v>28000</v>
      </c>
      <c r="G30" s="8" t="n">
        <v>0.0146981627296588</v>
      </c>
    </row>
    <row r="31" customFormat="false" ht="15" hidden="false" customHeight="false" outlineLevel="0" collapsed="false">
      <c r="A31" s="11" t="s">
        <v>31</v>
      </c>
      <c r="B31" s="12" t="n">
        <v>312780</v>
      </c>
      <c r="C31" s="8" t="n">
        <v>0.240970724191063</v>
      </c>
      <c r="D31" s="12" t="n">
        <v>352405</v>
      </c>
      <c r="E31" s="8" t="n">
        <v>0.227798965740142</v>
      </c>
      <c r="F31" s="12" t="n">
        <v>409200</v>
      </c>
      <c r="G31" s="8" t="n">
        <v>0.214803149606299</v>
      </c>
    </row>
    <row r="33" customFormat="false" ht="15" hidden="false" customHeight="false" outlineLevel="0" collapsed="false">
      <c r="A33" s="11" t="s">
        <v>32</v>
      </c>
      <c r="B33" s="12" t="n">
        <f aca="false">B19-B31+22000</f>
        <v>358220</v>
      </c>
      <c r="C33" s="8" t="n">
        <v>0.27597842835131</v>
      </c>
      <c r="D33" s="12" t="n">
        <f aca="false">D19-D31+22000</f>
        <v>443595</v>
      </c>
      <c r="E33" s="8" t="n">
        <v>0.286745313510019</v>
      </c>
      <c r="F33" s="12" t="n">
        <f aca="false">F19-F31+28000</f>
        <v>570800</v>
      </c>
      <c r="G33" s="8" t="n">
        <v>0.299632545931759</v>
      </c>
    </row>
    <row r="34" customFormat="false" ht="15" hidden="false" customHeight="false" outlineLevel="0" collapsed="false">
      <c r="A34" s="13" t="s">
        <v>33</v>
      </c>
      <c r="B34" s="14" t="n">
        <f aca="false">B19-B31</f>
        <v>336220</v>
      </c>
      <c r="C34" s="8" t="n">
        <v>0.259029275808937</v>
      </c>
      <c r="D34" s="14" t="n">
        <f aca="false">D19-D31</f>
        <v>421595</v>
      </c>
      <c r="E34" s="8" t="n">
        <v>0.272524240465417</v>
      </c>
      <c r="F34" s="14" t="n">
        <f aca="false">F19-F31</f>
        <v>542800</v>
      </c>
      <c r="G34" s="8" t="n">
        <v>0.2849343832021</v>
      </c>
    </row>
    <row r="37" customFormat="false" ht="36" hidden="false" customHeight="true" outlineLevel="0" collapsed="false">
      <c r="A37" s="15" t="s">
        <v>34</v>
      </c>
      <c r="B37" s="15"/>
      <c r="C37" s="15"/>
      <c r="D37" s="15"/>
      <c r="E37" s="15"/>
      <c r="F37" s="15"/>
      <c r="G37" s="15"/>
    </row>
  </sheetData>
  <mergeCells count="6">
    <mergeCell ref="A1:G1"/>
    <mergeCell ref="A2:G2"/>
    <mergeCell ref="A5:G5"/>
    <mergeCell ref="A12:G12"/>
    <mergeCell ref="A21:G21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</row>
    <row r="2" customFormat="false" ht="15" hidden="false" customHeight="false" outlineLevel="0" collapsed="false">
      <c r="A2" s="2" t="s">
        <v>36</v>
      </c>
      <c r="B2" s="2"/>
      <c r="C2" s="2"/>
      <c r="D2" s="2"/>
    </row>
    <row r="3" customFormat="false" ht="15" hidden="false" customHeight="false" outlineLevel="0" collapsed="false">
      <c r="A3" s="3"/>
      <c r="B3" s="4" t="s">
        <v>2</v>
      </c>
      <c r="C3" s="4" t="s">
        <v>4</v>
      </c>
      <c r="D3" s="4" t="s">
        <v>6</v>
      </c>
    </row>
    <row r="5" customFormat="false" ht="15" hidden="false" customHeight="false" outlineLevel="0" collapsed="false">
      <c r="A5" s="5" t="s">
        <v>37</v>
      </c>
      <c r="B5" s="5"/>
      <c r="C5" s="5"/>
      <c r="D5" s="5"/>
    </row>
    <row r="6" customFormat="false" ht="15" hidden="false" customHeight="false" outlineLevel="0" collapsed="false">
      <c r="A6" s="16" t="s">
        <v>38</v>
      </c>
      <c r="B6" s="16"/>
      <c r="C6" s="16"/>
      <c r="D6" s="16"/>
    </row>
    <row r="7" customFormat="false" ht="15" hidden="false" customHeight="false" outlineLevel="0" collapsed="false">
      <c r="A7" s="6" t="s">
        <v>39</v>
      </c>
      <c r="B7" s="7" t="n">
        <v>48000</v>
      </c>
      <c r="C7" s="7" t="n">
        <v>42000</v>
      </c>
      <c r="D7" s="7" t="n">
        <v>31000</v>
      </c>
    </row>
    <row r="8" customFormat="false" ht="15" hidden="false" customHeight="false" outlineLevel="0" collapsed="false">
      <c r="A8" s="6" t="s">
        <v>40</v>
      </c>
      <c r="B8" s="7" t="n">
        <v>218000</v>
      </c>
      <c r="C8" s="7" t="n">
        <v>312000</v>
      </c>
      <c r="D8" s="7" t="n">
        <v>487000</v>
      </c>
    </row>
    <row r="9" customFormat="false" ht="15" hidden="false" customHeight="false" outlineLevel="0" collapsed="false">
      <c r="A9" s="9" t="s">
        <v>41</v>
      </c>
      <c r="B9" s="10" t="n">
        <v>24000</v>
      </c>
      <c r="C9" s="10" t="n">
        <v>31000</v>
      </c>
      <c r="D9" s="10" t="n">
        <v>44000</v>
      </c>
    </row>
    <row r="10" customFormat="false" ht="15" hidden="false" customHeight="false" outlineLevel="0" collapsed="false">
      <c r="A10" s="9" t="s">
        <v>42</v>
      </c>
      <c r="B10" s="10" t="n">
        <v>18000</v>
      </c>
      <c r="C10" s="10" t="n">
        <v>22000</v>
      </c>
      <c r="D10" s="10" t="n">
        <v>28000</v>
      </c>
    </row>
    <row r="11" customFormat="false" ht="15" hidden="false" customHeight="false" outlineLevel="0" collapsed="false">
      <c r="A11" s="9" t="s">
        <v>43</v>
      </c>
      <c r="B11" s="10" t="n">
        <v>8000</v>
      </c>
      <c r="C11" s="10" t="n">
        <v>9000</v>
      </c>
      <c r="D11" s="10" t="n">
        <v>10000</v>
      </c>
    </row>
    <row r="12" customFormat="false" ht="15" hidden="false" customHeight="false" outlineLevel="0" collapsed="false">
      <c r="A12" s="11" t="s">
        <v>44</v>
      </c>
      <c r="B12" s="12" t="n">
        <v>316000</v>
      </c>
      <c r="C12" s="12" t="n">
        <v>416000</v>
      </c>
      <c r="D12" s="12" t="n">
        <v>600000</v>
      </c>
    </row>
    <row r="14" customFormat="false" ht="15" hidden="false" customHeight="false" outlineLevel="0" collapsed="false">
      <c r="A14" s="16" t="s">
        <v>45</v>
      </c>
      <c r="B14" s="16"/>
      <c r="C14" s="16"/>
      <c r="D14" s="16"/>
    </row>
    <row r="15" customFormat="false" ht="15" hidden="false" customHeight="false" outlineLevel="0" collapsed="false">
      <c r="A15" s="9" t="s">
        <v>46</v>
      </c>
      <c r="B15" s="10" t="n">
        <v>168000</v>
      </c>
      <c r="C15" s="10" t="n">
        <v>168000</v>
      </c>
      <c r="D15" s="10" t="n">
        <v>224000</v>
      </c>
    </row>
    <row r="16" customFormat="false" ht="15" hidden="false" customHeight="false" outlineLevel="0" collapsed="false">
      <c r="A16" s="9" t="s">
        <v>47</v>
      </c>
      <c r="B16" s="10" t="n">
        <v>66000</v>
      </c>
      <c r="C16" s="10" t="n">
        <v>88000</v>
      </c>
      <c r="D16" s="10" t="n">
        <v>116000</v>
      </c>
    </row>
    <row r="17" customFormat="false" ht="15" hidden="false" customHeight="false" outlineLevel="0" collapsed="false">
      <c r="A17" s="9" t="s">
        <v>48</v>
      </c>
      <c r="B17" s="10" t="n">
        <v>44000</v>
      </c>
      <c r="C17" s="10" t="n">
        <v>44000</v>
      </c>
      <c r="D17" s="10" t="n">
        <v>58000</v>
      </c>
    </row>
    <row r="18" customFormat="false" ht="15" hidden="false" customHeight="false" outlineLevel="0" collapsed="false">
      <c r="A18" s="9" t="s">
        <v>47</v>
      </c>
      <c r="B18" s="10" t="n">
        <v>22000</v>
      </c>
      <c r="C18" s="10" t="n">
        <v>30000</v>
      </c>
      <c r="D18" s="10" t="n">
        <v>42000</v>
      </c>
    </row>
    <row r="19" customFormat="false" ht="15" hidden="false" customHeight="false" outlineLevel="0" collapsed="false">
      <c r="A19" s="11" t="s">
        <v>49</v>
      </c>
      <c r="B19" s="12" t="n">
        <v>124000</v>
      </c>
      <c r="C19" s="12" t="n">
        <v>94000</v>
      </c>
      <c r="D19" s="12" t="n">
        <v>124000</v>
      </c>
    </row>
    <row r="21" customFormat="false" ht="15" hidden="false" customHeight="false" outlineLevel="0" collapsed="false">
      <c r="A21" s="13" t="s">
        <v>50</v>
      </c>
      <c r="B21" s="14" t="n">
        <v>440000</v>
      </c>
      <c r="C21" s="14" t="n">
        <v>510000</v>
      </c>
      <c r="D21" s="14" t="n">
        <v>724000</v>
      </c>
    </row>
    <row r="23" customFormat="false" ht="15" hidden="false" customHeight="false" outlineLevel="0" collapsed="false">
      <c r="A23" s="5" t="s">
        <v>51</v>
      </c>
      <c r="B23" s="5"/>
      <c r="C23" s="5"/>
      <c r="D23" s="5"/>
    </row>
    <row r="24" customFormat="false" ht="15" hidden="false" customHeight="false" outlineLevel="0" collapsed="false">
      <c r="A24" s="16" t="s">
        <v>52</v>
      </c>
      <c r="B24" s="16"/>
      <c r="C24" s="16"/>
      <c r="D24" s="16"/>
    </row>
    <row r="25" customFormat="false" ht="15" hidden="false" customHeight="false" outlineLevel="0" collapsed="false">
      <c r="A25" s="6" t="s">
        <v>53</v>
      </c>
      <c r="B25" s="7" t="n">
        <v>44000</v>
      </c>
      <c r="C25" s="7" t="n">
        <v>68000</v>
      </c>
      <c r="D25" s="7" t="n">
        <v>112000</v>
      </c>
    </row>
    <row r="26" customFormat="false" ht="15" hidden="false" customHeight="false" outlineLevel="0" collapsed="false">
      <c r="A26" s="9" t="s">
        <v>54</v>
      </c>
      <c r="B26" s="10" t="n">
        <v>12000</v>
      </c>
      <c r="C26" s="10" t="n">
        <v>14000</v>
      </c>
      <c r="D26" s="10" t="n">
        <v>16000</v>
      </c>
    </row>
    <row r="27" customFormat="false" ht="15" hidden="false" customHeight="false" outlineLevel="0" collapsed="false">
      <c r="A27" s="9" t="s">
        <v>55</v>
      </c>
      <c r="B27" s="10" t="n">
        <v>18000</v>
      </c>
      <c r="C27" s="10" t="n">
        <v>22000</v>
      </c>
      <c r="D27" s="10" t="n">
        <v>28000</v>
      </c>
    </row>
    <row r="28" customFormat="false" ht="15" hidden="false" customHeight="false" outlineLevel="0" collapsed="false">
      <c r="A28" s="9" t="s">
        <v>56</v>
      </c>
      <c r="B28" s="10" t="n">
        <v>24000</v>
      </c>
      <c r="C28" s="10" t="n">
        <v>24000</v>
      </c>
      <c r="D28" s="10" t="n">
        <v>32000</v>
      </c>
    </row>
    <row r="29" customFormat="false" ht="15" hidden="false" customHeight="false" outlineLevel="0" collapsed="false">
      <c r="A29" s="6" t="s">
        <v>57</v>
      </c>
      <c r="B29" s="7" t="n">
        <v>40000</v>
      </c>
      <c r="C29" s="7" t="n">
        <v>65000</v>
      </c>
      <c r="D29" s="7" t="n">
        <v>98000</v>
      </c>
    </row>
    <row r="30" customFormat="false" ht="15" hidden="false" customHeight="false" outlineLevel="0" collapsed="false">
      <c r="A30" s="11" t="s">
        <v>58</v>
      </c>
      <c r="B30" s="12" t="n">
        <v>138000</v>
      </c>
      <c r="C30" s="12" t="n">
        <v>193000</v>
      </c>
      <c r="D30" s="12" t="n">
        <v>286000</v>
      </c>
    </row>
    <row r="32" customFormat="false" ht="15" hidden="false" customHeight="false" outlineLevel="0" collapsed="false">
      <c r="A32" s="16" t="s">
        <v>59</v>
      </c>
      <c r="B32" s="16"/>
      <c r="C32" s="16"/>
      <c r="D32" s="16"/>
    </row>
    <row r="33" customFormat="false" ht="15" hidden="false" customHeight="false" outlineLevel="0" collapsed="false">
      <c r="A33" s="9" t="s">
        <v>60</v>
      </c>
      <c r="B33" s="10" t="n">
        <v>72000</v>
      </c>
      <c r="C33" s="10" t="n">
        <v>48000</v>
      </c>
      <c r="D33" s="10" t="n">
        <v>88000</v>
      </c>
    </row>
    <row r="34" customFormat="false" ht="15" hidden="false" customHeight="false" outlineLevel="0" collapsed="false">
      <c r="A34" s="9" t="s">
        <v>61</v>
      </c>
      <c r="B34" s="10" t="n">
        <v>12000</v>
      </c>
      <c r="C34" s="10" t="n">
        <v>8000</v>
      </c>
      <c r="D34" s="10" t="n">
        <v>4000</v>
      </c>
    </row>
    <row r="35" customFormat="false" ht="15" hidden="false" customHeight="false" outlineLevel="0" collapsed="false">
      <c r="A35" s="11" t="s">
        <v>62</v>
      </c>
      <c r="B35" s="12" t="n">
        <v>84000</v>
      </c>
      <c r="C35" s="12" t="n">
        <v>56000</v>
      </c>
      <c r="D35" s="12" t="n">
        <v>92000</v>
      </c>
    </row>
    <row r="37" customFormat="false" ht="15" hidden="false" customHeight="false" outlineLevel="0" collapsed="false">
      <c r="A37" s="13" t="s">
        <v>63</v>
      </c>
      <c r="B37" s="14" t="n">
        <v>222000</v>
      </c>
      <c r="C37" s="14" t="n">
        <v>249000</v>
      </c>
      <c r="D37" s="14" t="n">
        <v>378000</v>
      </c>
    </row>
    <row r="39" customFormat="false" ht="15" hidden="false" customHeight="false" outlineLevel="0" collapsed="false">
      <c r="A39" s="5" t="s">
        <v>64</v>
      </c>
      <c r="B39" s="5"/>
      <c r="C39" s="5"/>
      <c r="D39" s="5"/>
    </row>
    <row r="40" customFormat="false" ht="15" hidden="false" customHeight="false" outlineLevel="0" collapsed="false">
      <c r="A40" s="9" t="s">
        <v>65</v>
      </c>
      <c r="B40" s="10" t="n">
        <v>218000</v>
      </c>
      <c r="C40" s="10" t="n">
        <v>261000</v>
      </c>
      <c r="D40" s="10" t="n">
        <v>346000</v>
      </c>
    </row>
    <row r="41" customFormat="false" ht="15" hidden="false" customHeight="false" outlineLevel="0" collapsed="false">
      <c r="A41" s="11" t="s">
        <v>66</v>
      </c>
      <c r="B41" s="12" t="n">
        <v>218000</v>
      </c>
      <c r="C41" s="12" t="n">
        <v>261000</v>
      </c>
      <c r="D41" s="12" t="n">
        <v>346000</v>
      </c>
    </row>
    <row r="43" customFormat="false" ht="15" hidden="false" customHeight="false" outlineLevel="0" collapsed="false">
      <c r="A43" s="13" t="s">
        <v>67</v>
      </c>
      <c r="B43" s="14" t="n">
        <v>440000</v>
      </c>
      <c r="C43" s="14" t="n">
        <v>510000</v>
      </c>
      <c r="D43" s="14" t="n">
        <v>724000</v>
      </c>
    </row>
    <row r="46" customFormat="false" ht="36" hidden="false" customHeight="true" outlineLevel="0" collapsed="false">
      <c r="A46" s="15" t="s">
        <v>68</v>
      </c>
      <c r="B46" s="15"/>
      <c r="C46" s="15"/>
      <c r="D46" s="15"/>
    </row>
  </sheetData>
  <mergeCells count="10">
    <mergeCell ref="A1:D1"/>
    <mergeCell ref="A2:D2"/>
    <mergeCell ref="A5:D5"/>
    <mergeCell ref="A6:D6"/>
    <mergeCell ref="A14:D14"/>
    <mergeCell ref="A23:D23"/>
    <mergeCell ref="A24:D24"/>
    <mergeCell ref="A32:D32"/>
    <mergeCell ref="A39:D39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69</v>
      </c>
      <c r="B1" s="1"/>
      <c r="C1" s="1"/>
      <c r="D1" s="1"/>
    </row>
    <row r="2" customFormat="false" ht="15" hidden="false" customHeight="false" outlineLevel="0" collapsed="false">
      <c r="A2" s="2" t="s">
        <v>70</v>
      </c>
      <c r="B2" s="2"/>
      <c r="C2" s="2"/>
      <c r="D2" s="2"/>
    </row>
    <row r="3" customFormat="false" ht="15" hidden="false" customHeight="false" outlineLevel="0" collapsed="false">
      <c r="A3" s="3"/>
      <c r="B3" s="4" t="s">
        <v>2</v>
      </c>
      <c r="C3" s="4" t="s">
        <v>4</v>
      </c>
      <c r="D3" s="4" t="s">
        <v>6</v>
      </c>
    </row>
    <row r="5" customFormat="false" ht="15" hidden="false" customHeight="false" outlineLevel="0" collapsed="false">
      <c r="A5" s="5" t="s">
        <v>71</v>
      </c>
      <c r="B5" s="5"/>
      <c r="C5" s="5"/>
      <c r="D5" s="5"/>
    </row>
    <row r="6" customFormat="false" ht="15" hidden="false" customHeight="false" outlineLevel="0" collapsed="false">
      <c r="A6" s="13" t="s">
        <v>72</v>
      </c>
      <c r="B6" s="17" t="n">
        <v>336220</v>
      </c>
      <c r="C6" s="17" t="n">
        <v>421595</v>
      </c>
      <c r="D6" s="17" t="n">
        <v>542800</v>
      </c>
    </row>
    <row r="8" customFormat="false" ht="15" hidden="false" customHeight="false" outlineLevel="0" collapsed="false">
      <c r="A8" s="5" t="s">
        <v>73</v>
      </c>
      <c r="B8" s="5"/>
      <c r="C8" s="5"/>
      <c r="D8" s="5"/>
    </row>
    <row r="9" customFormat="false" ht="15" hidden="false" customHeight="false" outlineLevel="0" collapsed="false">
      <c r="A9" s="9" t="s">
        <v>74</v>
      </c>
      <c r="B9" s="18" t="n">
        <v>22000</v>
      </c>
      <c r="C9" s="18" t="n">
        <v>22000</v>
      </c>
      <c r="D9" s="18" t="n">
        <v>28000</v>
      </c>
    </row>
    <row r="10" customFormat="false" ht="15" hidden="false" customHeight="false" outlineLevel="0" collapsed="false">
      <c r="A10" s="9" t="s">
        <v>75</v>
      </c>
      <c r="B10" s="18" t="n">
        <v>8400</v>
      </c>
      <c r="C10" s="18" t="n">
        <v>10200</v>
      </c>
      <c r="D10" s="18" t="n">
        <v>14800</v>
      </c>
    </row>
    <row r="11" customFormat="false" ht="15" hidden="false" customHeight="false" outlineLevel="0" collapsed="false">
      <c r="A11" s="6" t="s">
        <v>76</v>
      </c>
      <c r="B11" s="19" t="n">
        <v>12980</v>
      </c>
      <c r="C11" s="19" t="n">
        <v>23205</v>
      </c>
      <c r="D11" s="19" t="n">
        <v>38100</v>
      </c>
    </row>
    <row r="12" customFormat="false" ht="15" hidden="false" customHeight="false" outlineLevel="0" collapsed="false">
      <c r="A12" s="9" t="s">
        <v>77</v>
      </c>
      <c r="B12" s="18" t="n">
        <v>0</v>
      </c>
      <c r="C12" s="18" t="n">
        <v>8400</v>
      </c>
      <c r="D12" s="18" t="n">
        <v>0</v>
      </c>
    </row>
    <row r="14" customFormat="false" ht="15" hidden="false" customHeight="false" outlineLevel="0" collapsed="false">
      <c r="A14" s="5" t="s">
        <v>78</v>
      </c>
      <c r="B14" s="5"/>
      <c r="C14" s="5"/>
      <c r="D14" s="5"/>
    </row>
    <row r="15" customFormat="false" ht="15" hidden="false" customHeight="false" outlineLevel="0" collapsed="false">
      <c r="A15" s="9" t="s">
        <v>22</v>
      </c>
      <c r="B15" s="18" t="n">
        <v>120000</v>
      </c>
      <c r="C15" s="18" t="n">
        <v>132000</v>
      </c>
      <c r="D15" s="18" t="n">
        <v>148000</v>
      </c>
    </row>
    <row r="16" customFormat="false" ht="15" hidden="false" customHeight="false" outlineLevel="0" collapsed="false">
      <c r="A16" s="9" t="s">
        <v>79</v>
      </c>
      <c r="B16" s="18" t="n">
        <v>9600</v>
      </c>
      <c r="C16" s="18" t="n">
        <v>10080</v>
      </c>
      <c r="D16" s="18" t="n">
        <v>10584</v>
      </c>
    </row>
    <row r="17" customFormat="false" ht="15" hidden="false" customHeight="false" outlineLevel="0" collapsed="false">
      <c r="A17" s="6" t="s">
        <v>80</v>
      </c>
      <c r="B17" s="19" t="n">
        <v>18000</v>
      </c>
      <c r="C17" s="19" t="n">
        <v>18000</v>
      </c>
      <c r="D17" s="19" t="n">
        <v>18000</v>
      </c>
    </row>
    <row r="18" customFormat="false" ht="15" hidden="false" customHeight="false" outlineLevel="0" collapsed="false">
      <c r="A18" s="9" t="s">
        <v>81</v>
      </c>
      <c r="B18" s="18" t="n">
        <v>3600</v>
      </c>
      <c r="C18" s="18" t="n">
        <v>3600</v>
      </c>
      <c r="D18" s="18" t="n">
        <v>3600</v>
      </c>
    </row>
    <row r="19" customFormat="false" ht="15" hidden="false" customHeight="false" outlineLevel="0" collapsed="false">
      <c r="A19" s="9" t="s">
        <v>82</v>
      </c>
      <c r="B19" s="18" t="n">
        <v>20000</v>
      </c>
      <c r="C19" s="18" t="n">
        <v>22000</v>
      </c>
      <c r="D19" s="18" t="n">
        <v>25000</v>
      </c>
    </row>
    <row r="21" customFormat="false" ht="15" hidden="false" customHeight="false" outlineLevel="0" collapsed="false">
      <c r="A21" s="5" t="s">
        <v>83</v>
      </c>
      <c r="B21" s="5"/>
      <c r="C21" s="5"/>
      <c r="D21" s="5"/>
    </row>
    <row r="22" customFormat="false" ht="15" hidden="false" customHeight="false" outlineLevel="0" collapsed="false">
      <c r="A22" s="11" t="s">
        <v>84</v>
      </c>
      <c r="B22" s="20" t="n">
        <v>550800</v>
      </c>
      <c r="C22" s="20" t="n">
        <v>671080</v>
      </c>
      <c r="D22" s="20" t="n">
        <v>828884</v>
      </c>
    </row>
    <row r="24" customFormat="false" ht="15" hidden="false" customHeight="false" outlineLevel="0" collapsed="false">
      <c r="A24" s="5" t="s">
        <v>85</v>
      </c>
      <c r="B24" s="5"/>
      <c r="C24" s="5"/>
      <c r="D24" s="5"/>
    </row>
    <row r="25" customFormat="false" ht="15" hidden="false" customHeight="false" outlineLevel="0" collapsed="false">
      <c r="A25" s="9" t="s">
        <v>86</v>
      </c>
      <c r="B25" s="18" t="n">
        <v>550800</v>
      </c>
      <c r="C25" s="18" t="n">
        <v>671080</v>
      </c>
      <c r="D25" s="18" t="n">
        <v>828884</v>
      </c>
    </row>
    <row r="26" customFormat="false" ht="15" hidden="false" customHeight="false" outlineLevel="0" collapsed="false">
      <c r="A26" s="9" t="s">
        <v>87</v>
      </c>
      <c r="B26" s="18" t="n">
        <v>95000</v>
      </c>
      <c r="C26" s="18" t="n">
        <v>95000</v>
      </c>
      <c r="D26" s="18" t="n">
        <v>95000</v>
      </c>
    </row>
    <row r="27" customFormat="false" ht="15" hidden="false" customHeight="false" outlineLevel="0" collapsed="false">
      <c r="A27" s="6" t="s">
        <v>88</v>
      </c>
      <c r="B27" s="19" t="n">
        <v>0</v>
      </c>
      <c r="C27" s="19" t="n">
        <v>7735</v>
      </c>
      <c r="D27" s="19" t="n">
        <v>19050</v>
      </c>
    </row>
    <row r="28" customFormat="false" ht="15" hidden="false" customHeight="false" outlineLevel="0" collapsed="false">
      <c r="A28" s="9" t="s">
        <v>89</v>
      </c>
      <c r="B28" s="18" t="n">
        <v>18000</v>
      </c>
      <c r="C28" s="18" t="n">
        <v>18000</v>
      </c>
      <c r="D28" s="18" t="n">
        <v>18000</v>
      </c>
    </row>
    <row r="29" customFormat="false" ht="15" hidden="false" customHeight="false" outlineLevel="0" collapsed="false">
      <c r="A29" s="13" t="s">
        <v>90</v>
      </c>
      <c r="B29" s="17" t="n">
        <v>437800</v>
      </c>
      <c r="C29" s="17" t="n">
        <v>550345</v>
      </c>
      <c r="D29" s="17" t="n">
        <v>696834</v>
      </c>
    </row>
    <row r="31" customFormat="false" ht="15" hidden="false" customHeight="false" outlineLevel="0" collapsed="false">
      <c r="A31" s="5" t="s">
        <v>91</v>
      </c>
      <c r="B31" s="5"/>
      <c r="C31" s="5"/>
      <c r="D31" s="5"/>
    </row>
    <row r="32" customFormat="false" ht="15" hidden="false" customHeight="false" outlineLevel="0" collapsed="false">
      <c r="A32" s="21" t="s">
        <v>92</v>
      </c>
      <c r="B32" s="22"/>
      <c r="C32" s="22"/>
      <c r="D32" s="23" t="n">
        <v>696834</v>
      </c>
    </row>
    <row r="33" customFormat="false" ht="15" hidden="false" customHeight="false" outlineLevel="0" collapsed="false">
      <c r="A33" s="21" t="s">
        <v>93</v>
      </c>
      <c r="B33" s="22"/>
      <c r="C33" s="22"/>
      <c r="D33" s="24" t="s">
        <v>94</v>
      </c>
    </row>
    <row r="34" customFormat="false" ht="15" hidden="false" customHeight="false" outlineLevel="0" collapsed="false">
      <c r="A34" s="21" t="s">
        <v>95</v>
      </c>
      <c r="B34" s="22"/>
      <c r="C34" s="22"/>
      <c r="D34" s="24" t="s">
        <v>96</v>
      </c>
    </row>
    <row r="35" customFormat="false" ht="15" hidden="false" customHeight="false" outlineLevel="0" collapsed="false">
      <c r="A35" s="25" t="s">
        <v>97</v>
      </c>
      <c r="B35" s="22"/>
      <c r="C35" s="22"/>
      <c r="D35" s="26" t="s">
        <v>98</v>
      </c>
    </row>
    <row r="38" customFormat="false" ht="36" hidden="false" customHeight="true" outlineLevel="0" collapsed="false">
      <c r="A38" s="15" t="s">
        <v>99</v>
      </c>
      <c r="B38" s="15"/>
      <c r="C38" s="15"/>
      <c r="D38" s="15"/>
    </row>
  </sheetData>
  <mergeCells count="9">
    <mergeCell ref="A1:D1"/>
    <mergeCell ref="A2:D2"/>
    <mergeCell ref="A5:D5"/>
    <mergeCell ref="A8:D8"/>
    <mergeCell ref="A14:D14"/>
    <mergeCell ref="A21:D21"/>
    <mergeCell ref="A24:D24"/>
    <mergeCell ref="A31:D3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</row>
    <row r="2" customFormat="false" ht="15" hidden="false" customHeight="false" outlineLevel="0" collapsed="false">
      <c r="A2" s="2" t="s">
        <v>101</v>
      </c>
      <c r="B2" s="2"/>
      <c r="C2" s="2"/>
      <c r="D2" s="2"/>
    </row>
    <row r="3" customFormat="false" ht="15" hidden="false" customHeight="false" outlineLevel="0" collapsed="false">
      <c r="A3" s="3"/>
      <c r="B3" s="4" t="s">
        <v>2</v>
      </c>
      <c r="C3" s="4" t="s">
        <v>4</v>
      </c>
      <c r="D3" s="4" t="s">
        <v>6</v>
      </c>
    </row>
    <row r="5" customFormat="false" ht="15" hidden="false" customHeight="false" outlineLevel="0" collapsed="false">
      <c r="A5" s="5" t="s">
        <v>102</v>
      </c>
      <c r="B5" s="5"/>
      <c r="C5" s="5"/>
      <c r="D5" s="5"/>
    </row>
    <row r="6" customFormat="false" ht="15" hidden="false" customHeight="false" outlineLevel="0" collapsed="false">
      <c r="A6" s="9" t="s">
        <v>103</v>
      </c>
      <c r="B6" s="18" t="n">
        <v>336220</v>
      </c>
      <c r="C6" s="18" t="n">
        <v>421595</v>
      </c>
      <c r="D6" s="18" t="n">
        <v>542800</v>
      </c>
    </row>
    <row r="7" customFormat="false" ht="15" hidden="false" customHeight="false" outlineLevel="0" collapsed="false">
      <c r="A7" s="9" t="s">
        <v>104</v>
      </c>
      <c r="B7" s="18" t="n">
        <v>22000</v>
      </c>
      <c r="C7" s="18" t="n">
        <v>22000</v>
      </c>
      <c r="D7" s="18" t="n">
        <v>28000</v>
      </c>
    </row>
    <row r="8" customFormat="false" ht="15" hidden="false" customHeight="false" outlineLevel="0" collapsed="false">
      <c r="A8" s="6" t="s">
        <v>105</v>
      </c>
      <c r="B8" s="19" t="n">
        <v>72000</v>
      </c>
      <c r="C8" s="19" t="n">
        <v>94000</v>
      </c>
      <c r="D8" s="19" t="n">
        <v>175000</v>
      </c>
    </row>
    <row r="9" customFormat="false" ht="15" hidden="false" customHeight="false" outlineLevel="0" collapsed="false">
      <c r="A9" s="9" t="s">
        <v>106</v>
      </c>
      <c r="B9" s="18" t="n">
        <v>6000</v>
      </c>
      <c r="C9" s="18" t="n">
        <v>7000</v>
      </c>
      <c r="D9" s="18" t="n">
        <v>13000</v>
      </c>
    </row>
    <row r="10" customFormat="false" ht="15" hidden="false" customHeight="false" outlineLevel="0" collapsed="false">
      <c r="A10" s="9" t="s">
        <v>107</v>
      </c>
      <c r="B10" s="18" t="n">
        <v>4000</v>
      </c>
      <c r="C10" s="18" t="n">
        <v>4000</v>
      </c>
      <c r="D10" s="18" t="n">
        <v>6000</v>
      </c>
    </row>
    <row r="11" customFormat="false" ht="15" hidden="false" customHeight="false" outlineLevel="0" collapsed="false">
      <c r="A11" s="9" t="s">
        <v>108</v>
      </c>
      <c r="B11" s="18" t="n">
        <v>12000</v>
      </c>
      <c r="C11" s="18" t="n">
        <v>24000</v>
      </c>
      <c r="D11" s="18" t="n">
        <v>44000</v>
      </c>
    </row>
    <row r="12" customFormat="false" ht="15" hidden="false" customHeight="false" outlineLevel="0" collapsed="false">
      <c r="A12" s="9" t="s">
        <v>109</v>
      </c>
      <c r="B12" s="18" t="n">
        <v>2000</v>
      </c>
      <c r="C12" s="18" t="n">
        <v>2000</v>
      </c>
      <c r="D12" s="18" t="n">
        <v>2000</v>
      </c>
    </row>
    <row r="13" customFormat="false" ht="15" hidden="false" customHeight="false" outlineLevel="0" collapsed="false">
      <c r="A13" s="11" t="s">
        <v>110</v>
      </c>
      <c r="B13" s="20" t="n">
        <v>290220</v>
      </c>
      <c r="C13" s="20" t="n">
        <v>364595</v>
      </c>
      <c r="D13" s="20" t="n">
        <v>422800</v>
      </c>
    </row>
    <row r="15" customFormat="false" ht="15" hidden="false" customHeight="false" outlineLevel="0" collapsed="false">
      <c r="A15" s="5" t="s">
        <v>111</v>
      </c>
      <c r="B15" s="5"/>
      <c r="C15" s="5"/>
      <c r="D15" s="5"/>
    </row>
    <row r="16" customFormat="false" ht="15" hidden="false" customHeight="false" outlineLevel="0" collapsed="false">
      <c r="A16" s="9" t="s">
        <v>112</v>
      </c>
      <c r="B16" s="18" t="n">
        <v>0</v>
      </c>
      <c r="C16" s="18" t="n">
        <v>0</v>
      </c>
      <c r="D16" s="18" t="n">
        <v>56000</v>
      </c>
    </row>
    <row r="17" customFormat="false" ht="15" hidden="false" customHeight="false" outlineLevel="0" collapsed="false">
      <c r="A17" s="9" t="s">
        <v>113</v>
      </c>
      <c r="B17" s="18" t="n">
        <v>0</v>
      </c>
      <c r="C17" s="18" t="n">
        <v>0</v>
      </c>
      <c r="D17" s="18" t="n">
        <v>14000</v>
      </c>
    </row>
    <row r="18" customFormat="false" ht="15" hidden="false" customHeight="false" outlineLevel="0" collapsed="false">
      <c r="A18" s="11" t="s">
        <v>114</v>
      </c>
      <c r="B18" s="20" t="n">
        <v>0</v>
      </c>
      <c r="C18" s="20" t="n">
        <v>0</v>
      </c>
      <c r="D18" s="20" t="n">
        <v>70000</v>
      </c>
    </row>
    <row r="20" customFormat="false" ht="15" hidden="false" customHeight="false" outlineLevel="0" collapsed="false">
      <c r="A20" s="5" t="s">
        <v>115</v>
      </c>
      <c r="B20" s="5"/>
      <c r="C20" s="5"/>
      <c r="D20" s="5"/>
    </row>
    <row r="21" customFormat="false" ht="15" hidden="false" customHeight="false" outlineLevel="0" collapsed="false">
      <c r="A21" s="9" t="s">
        <v>116</v>
      </c>
      <c r="B21" s="18" t="n">
        <v>266220</v>
      </c>
      <c r="C21" s="18" t="n">
        <v>344595</v>
      </c>
      <c r="D21" s="18" t="n">
        <v>346800</v>
      </c>
    </row>
    <row r="22" customFormat="false" ht="15" hidden="false" customHeight="false" outlineLevel="0" collapsed="false">
      <c r="A22" s="6" t="s">
        <v>117</v>
      </c>
      <c r="B22" s="19" t="n">
        <v>20000</v>
      </c>
      <c r="C22" s="19" t="n">
        <v>25000</v>
      </c>
      <c r="D22" s="19" t="n">
        <v>33000</v>
      </c>
    </row>
    <row r="23" customFormat="false" ht="15" hidden="false" customHeight="false" outlineLevel="0" collapsed="false">
      <c r="A23" s="9" t="s">
        <v>118</v>
      </c>
      <c r="B23" s="18" t="n">
        <v>24000</v>
      </c>
      <c r="C23" s="18" t="n">
        <v>24000</v>
      </c>
      <c r="D23" s="18" t="n">
        <v>8000</v>
      </c>
    </row>
    <row r="24" customFormat="false" ht="15" hidden="false" customHeight="false" outlineLevel="0" collapsed="false">
      <c r="A24" s="9" t="s">
        <v>119</v>
      </c>
      <c r="B24" s="18" t="n">
        <v>4000</v>
      </c>
      <c r="C24" s="18" t="n">
        <v>4000</v>
      </c>
      <c r="D24" s="18" t="n">
        <v>4000</v>
      </c>
    </row>
    <row r="25" customFormat="false" ht="15" hidden="false" customHeight="false" outlineLevel="0" collapsed="false">
      <c r="A25" s="11" t="s">
        <v>120</v>
      </c>
      <c r="B25" s="20" t="n">
        <v>274220</v>
      </c>
      <c r="C25" s="20" t="n">
        <v>347595</v>
      </c>
      <c r="D25" s="20" t="n">
        <v>309800</v>
      </c>
    </row>
    <row r="27" customFormat="false" ht="15" hidden="false" customHeight="false" outlineLevel="0" collapsed="false">
      <c r="A27" s="27" t="s">
        <v>121</v>
      </c>
      <c r="B27" s="28" t="n">
        <v>16000</v>
      </c>
      <c r="C27" s="28" t="n">
        <v>17000</v>
      </c>
      <c r="D27" s="28" t="n">
        <v>17000</v>
      </c>
    </row>
    <row r="28" customFormat="false" ht="15" hidden="false" customHeight="false" outlineLevel="0" collapsed="false">
      <c r="A28" s="29" t="s">
        <v>122</v>
      </c>
      <c r="B28" s="30" t="n">
        <v>32000</v>
      </c>
      <c r="C28" s="30" t="n">
        <v>48000</v>
      </c>
      <c r="D28" s="30" t="n">
        <v>65000</v>
      </c>
    </row>
    <row r="29" customFormat="false" ht="15" hidden="false" customHeight="false" outlineLevel="0" collapsed="false">
      <c r="A29" s="13" t="s">
        <v>123</v>
      </c>
      <c r="B29" s="17" t="n">
        <v>48000</v>
      </c>
      <c r="C29" s="17" t="n">
        <v>65000</v>
      </c>
      <c r="D29" s="17" t="n">
        <v>48000</v>
      </c>
    </row>
    <row r="32" customFormat="false" ht="36" hidden="false" customHeight="true" outlineLevel="0" collapsed="false">
      <c r="A32" s="15" t="s">
        <v>124</v>
      </c>
      <c r="B32" s="15"/>
      <c r="C32" s="15"/>
      <c r="D32" s="15"/>
    </row>
  </sheetData>
  <mergeCells count="6">
    <mergeCell ref="A1:D1"/>
    <mergeCell ref="A2:D2"/>
    <mergeCell ref="A5:D5"/>
    <mergeCell ref="A15:D15"/>
    <mergeCell ref="A20:D20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7" min="3" style="0" width="12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126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4" t="s">
        <v>127</v>
      </c>
      <c r="B3" s="4" t="s">
        <v>128</v>
      </c>
      <c r="C3" s="31" t="s">
        <v>129</v>
      </c>
      <c r="D3" s="31" t="s">
        <v>130</v>
      </c>
      <c r="E3" s="31" t="s">
        <v>131</v>
      </c>
      <c r="F3" s="31" t="s">
        <v>132</v>
      </c>
      <c r="G3" s="31" t="s">
        <v>133</v>
      </c>
      <c r="H3" s="4" t="s">
        <v>134</v>
      </c>
    </row>
    <row r="4" customFormat="false" ht="15" hidden="false" customHeight="false" outlineLevel="0" collapsed="false">
      <c r="A4" s="32" t="s">
        <v>135</v>
      </c>
      <c r="B4" s="10" t="n">
        <v>148000</v>
      </c>
      <c r="C4" s="33" t="n">
        <v>62000</v>
      </c>
      <c r="D4" s="10" t="n">
        <v>48000</v>
      </c>
      <c r="E4" s="7" t="n">
        <v>28000</v>
      </c>
      <c r="F4" s="7" t="n">
        <v>10000</v>
      </c>
      <c r="G4" s="10" t="n">
        <v>0</v>
      </c>
      <c r="H4" s="34" t="s">
        <v>136</v>
      </c>
    </row>
    <row r="5" customFormat="false" ht="15" hidden="false" customHeight="false" outlineLevel="0" collapsed="false">
      <c r="A5" s="35" t="s">
        <v>137</v>
      </c>
      <c r="B5" s="7" t="n">
        <v>82000</v>
      </c>
      <c r="C5" s="7" t="n">
        <v>0</v>
      </c>
      <c r="D5" s="7" t="n">
        <v>20000</v>
      </c>
      <c r="E5" s="7" t="n">
        <v>32000</v>
      </c>
      <c r="F5" s="7" t="n">
        <v>20000</v>
      </c>
      <c r="G5" s="7" t="n">
        <v>10000</v>
      </c>
      <c r="H5" s="36" t="s">
        <v>138</v>
      </c>
    </row>
    <row r="6" customFormat="false" ht="15" hidden="false" customHeight="false" outlineLevel="0" collapsed="false">
      <c r="A6" s="35" t="s">
        <v>139</v>
      </c>
      <c r="B6" s="7" t="n">
        <v>44000</v>
      </c>
      <c r="C6" s="7" t="n">
        <v>0</v>
      </c>
      <c r="D6" s="7" t="n">
        <v>0</v>
      </c>
      <c r="E6" s="7" t="n">
        <v>12000</v>
      </c>
      <c r="F6" s="7" t="n">
        <v>18000</v>
      </c>
      <c r="G6" s="7" t="n">
        <v>14000</v>
      </c>
      <c r="H6" s="36" t="s">
        <v>140</v>
      </c>
    </row>
    <row r="7" customFormat="false" ht="15" hidden="false" customHeight="false" outlineLevel="0" collapsed="false">
      <c r="A7" s="32" t="s">
        <v>141</v>
      </c>
      <c r="B7" s="10" t="n">
        <v>58000</v>
      </c>
      <c r="C7" s="33" t="n">
        <v>32000</v>
      </c>
      <c r="D7" s="10" t="n">
        <v>18000</v>
      </c>
      <c r="E7" s="7" t="n">
        <v>8000</v>
      </c>
      <c r="F7" s="10" t="n">
        <v>0</v>
      </c>
      <c r="G7" s="10" t="n">
        <v>0</v>
      </c>
      <c r="H7" s="34" t="s">
        <v>142</v>
      </c>
    </row>
    <row r="8" customFormat="false" ht="15" hidden="false" customHeight="false" outlineLevel="0" collapsed="false">
      <c r="A8" s="32" t="s">
        <v>143</v>
      </c>
      <c r="B8" s="10" t="n">
        <v>41000</v>
      </c>
      <c r="C8" s="33" t="n">
        <v>22000</v>
      </c>
      <c r="D8" s="10" t="n">
        <v>12000</v>
      </c>
      <c r="E8" s="7" t="n">
        <v>7000</v>
      </c>
      <c r="F8" s="10" t="n">
        <v>0</v>
      </c>
      <c r="G8" s="10" t="n">
        <v>0</v>
      </c>
      <c r="H8" s="34" t="s">
        <v>144</v>
      </c>
    </row>
    <row r="9" customFormat="false" ht="15" hidden="false" customHeight="false" outlineLevel="0" collapsed="false">
      <c r="A9" s="35" t="s">
        <v>145</v>
      </c>
      <c r="B9" s="7" t="n">
        <v>38000</v>
      </c>
      <c r="C9" s="7" t="n">
        <v>0</v>
      </c>
      <c r="D9" s="7" t="n">
        <v>14000</v>
      </c>
      <c r="E9" s="7" t="n">
        <v>14000</v>
      </c>
      <c r="F9" s="7" t="n">
        <v>10000</v>
      </c>
      <c r="G9" s="7" t="n">
        <v>0</v>
      </c>
      <c r="H9" s="36" t="s">
        <v>146</v>
      </c>
    </row>
    <row r="10" customFormat="false" ht="15" hidden="false" customHeight="false" outlineLevel="0" collapsed="false">
      <c r="A10" s="32" t="s">
        <v>147</v>
      </c>
      <c r="B10" s="10" t="n">
        <v>34000</v>
      </c>
      <c r="C10" s="33" t="n">
        <v>18000</v>
      </c>
      <c r="D10" s="10" t="n">
        <v>16000</v>
      </c>
      <c r="E10" s="10" t="n">
        <v>0</v>
      </c>
      <c r="F10" s="10" t="n">
        <v>0</v>
      </c>
      <c r="G10" s="10" t="n">
        <v>0</v>
      </c>
      <c r="H10" s="34" t="s">
        <v>148</v>
      </c>
    </row>
    <row r="11" customFormat="false" ht="15" hidden="false" customHeight="false" outlineLevel="0" collapsed="false">
      <c r="A11" s="32" t="s">
        <v>149</v>
      </c>
      <c r="B11" s="10" t="n">
        <v>42000</v>
      </c>
      <c r="C11" s="33" t="n">
        <v>24000</v>
      </c>
      <c r="D11" s="10" t="n">
        <v>10000</v>
      </c>
      <c r="E11" s="7" t="n">
        <v>4000</v>
      </c>
      <c r="F11" s="7" t="n">
        <v>2000</v>
      </c>
      <c r="G11" s="7" t="n">
        <v>2000</v>
      </c>
      <c r="H11" s="34" t="s">
        <v>150</v>
      </c>
    </row>
    <row r="12" customFormat="false" ht="15" hidden="false" customHeight="false" outlineLevel="0" collapsed="false">
      <c r="A12" s="11" t="s">
        <v>151</v>
      </c>
      <c r="B12" s="12" t="n">
        <v>487000</v>
      </c>
      <c r="C12" s="37" t="n">
        <v>158000</v>
      </c>
      <c r="D12" s="37" t="n">
        <v>138000</v>
      </c>
      <c r="E12" s="37" t="n">
        <v>105000</v>
      </c>
      <c r="F12" s="37" t="n">
        <v>60000</v>
      </c>
      <c r="G12" s="37" t="n">
        <v>26000</v>
      </c>
      <c r="H12" s="38" t="s">
        <v>152</v>
      </c>
    </row>
    <row r="14" customFormat="false" ht="36" hidden="false" customHeight="true" outlineLevel="0" collapsed="false">
      <c r="A14" s="15" t="s">
        <v>153</v>
      </c>
      <c r="B14" s="15"/>
      <c r="C14" s="15"/>
      <c r="D14" s="15"/>
      <c r="E14" s="15"/>
      <c r="F14" s="15"/>
      <c r="G14" s="15"/>
      <c r="H14" s="15"/>
    </row>
  </sheetData>
  <mergeCells count="3">
    <mergeCell ref="A1:H1"/>
    <mergeCell ref="A2:H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156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  <c r="H3" s="4" t="s">
        <v>163</v>
      </c>
      <c r="I3" s="4" t="s">
        <v>164</v>
      </c>
    </row>
    <row r="4" customFormat="false" ht="15" hidden="false" customHeight="false" outlineLevel="0" collapsed="false">
      <c r="A4" s="27" t="s">
        <v>165</v>
      </c>
      <c r="B4" s="35" t="s">
        <v>166</v>
      </c>
      <c r="C4" s="35" t="s">
        <v>167</v>
      </c>
      <c r="D4" s="35" t="s">
        <v>168</v>
      </c>
      <c r="E4" s="7" t="n">
        <v>1218000</v>
      </c>
      <c r="F4" s="39" t="n">
        <v>0.64</v>
      </c>
      <c r="G4" s="40" t="s">
        <v>169</v>
      </c>
      <c r="H4" s="35" t="s">
        <v>170</v>
      </c>
      <c r="I4" s="36" t="s">
        <v>171</v>
      </c>
    </row>
    <row r="5" customFormat="false" ht="15" hidden="false" customHeight="false" outlineLevel="0" collapsed="false">
      <c r="A5" s="32" t="s">
        <v>141</v>
      </c>
      <c r="B5" s="32" t="s">
        <v>166</v>
      </c>
      <c r="C5" s="32" t="s">
        <v>172</v>
      </c>
      <c r="D5" s="32" t="s">
        <v>173</v>
      </c>
      <c r="E5" s="10" t="n">
        <v>188000</v>
      </c>
      <c r="F5" s="41" t="n">
        <v>0.099</v>
      </c>
      <c r="G5" s="42" t="s">
        <v>174</v>
      </c>
      <c r="H5" s="32" t="s">
        <v>175</v>
      </c>
      <c r="I5" s="34" t="s">
        <v>176</v>
      </c>
    </row>
    <row r="6" customFormat="false" ht="15" hidden="false" customHeight="false" outlineLevel="0" collapsed="false">
      <c r="A6" s="32" t="s">
        <v>143</v>
      </c>
      <c r="B6" s="32" t="s">
        <v>166</v>
      </c>
      <c r="C6" s="32" t="s">
        <v>177</v>
      </c>
      <c r="D6" s="32" t="s">
        <v>173</v>
      </c>
      <c r="E6" s="10" t="n">
        <v>142000</v>
      </c>
      <c r="F6" s="41" t="n">
        <v>0.075</v>
      </c>
      <c r="G6" s="42" t="s">
        <v>174</v>
      </c>
      <c r="H6" s="32" t="s">
        <v>175</v>
      </c>
      <c r="I6" s="34" t="s">
        <v>178</v>
      </c>
    </row>
    <row r="7" customFormat="false" ht="15" hidden="false" customHeight="false" outlineLevel="0" collapsed="false">
      <c r="A7" s="32" t="s">
        <v>179</v>
      </c>
      <c r="B7" s="32" t="s">
        <v>180</v>
      </c>
      <c r="C7" s="32" t="s">
        <v>181</v>
      </c>
      <c r="D7" s="32" t="s">
        <v>173</v>
      </c>
      <c r="E7" s="10" t="n">
        <v>98000</v>
      </c>
      <c r="F7" s="41" t="n">
        <v>0.051</v>
      </c>
      <c r="G7" s="42" t="s">
        <v>174</v>
      </c>
      <c r="H7" s="32" t="s">
        <v>175</v>
      </c>
      <c r="I7" s="34" t="s">
        <v>182</v>
      </c>
    </row>
    <row r="8" customFormat="false" ht="15" hidden="false" customHeight="false" outlineLevel="0" collapsed="false">
      <c r="A8" s="27" t="s">
        <v>183</v>
      </c>
      <c r="B8" s="35" t="s">
        <v>180</v>
      </c>
      <c r="C8" s="35" t="s">
        <v>184</v>
      </c>
      <c r="D8" s="35" t="s">
        <v>185</v>
      </c>
      <c r="E8" s="7" t="n">
        <v>82000</v>
      </c>
      <c r="F8" s="39" t="n">
        <v>0.043</v>
      </c>
      <c r="G8" s="40" t="s">
        <v>186</v>
      </c>
      <c r="H8" s="35" t="s">
        <v>187</v>
      </c>
      <c r="I8" s="36" t="s">
        <v>188</v>
      </c>
    </row>
    <row r="9" customFormat="false" ht="15" hidden="false" customHeight="false" outlineLevel="0" collapsed="false">
      <c r="A9" s="32" t="s">
        <v>189</v>
      </c>
      <c r="B9" s="32" t="s">
        <v>190</v>
      </c>
      <c r="C9" s="32" t="s">
        <v>191</v>
      </c>
      <c r="D9" s="32" t="s">
        <v>192</v>
      </c>
      <c r="E9" s="10" t="n">
        <v>177000</v>
      </c>
      <c r="F9" s="41" t="n">
        <v>0.093</v>
      </c>
      <c r="G9" s="42" t="s">
        <v>192</v>
      </c>
      <c r="H9" s="32" t="s">
        <v>192</v>
      </c>
      <c r="I9" s="34" t="s">
        <v>193</v>
      </c>
    </row>
    <row r="10" customFormat="false" ht="15" hidden="false" customHeight="false" outlineLevel="0" collapsed="false">
      <c r="A10" s="11" t="s">
        <v>151</v>
      </c>
      <c r="B10" s="43"/>
      <c r="C10" s="43"/>
      <c r="D10" s="43"/>
      <c r="E10" s="12" t="n">
        <v>1905000</v>
      </c>
      <c r="F10" s="44" t="n">
        <v>1</v>
      </c>
      <c r="G10" s="43"/>
      <c r="H10" s="43"/>
      <c r="I10" s="43"/>
    </row>
    <row r="12" customFormat="false" ht="36" hidden="false" customHeight="true" outlineLevel="0" collapsed="false">
      <c r="A12" s="15" t="s">
        <v>194</v>
      </c>
      <c r="B12" s="15"/>
      <c r="C12" s="15"/>
      <c r="D12" s="15"/>
      <c r="E12" s="15"/>
      <c r="F12" s="15"/>
      <c r="G12" s="15"/>
      <c r="H12" s="15"/>
      <c r="I12" s="15"/>
    </row>
  </sheetData>
  <mergeCells count="3">
    <mergeCell ref="A1:I1"/>
    <mergeCell ref="A2:I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197</v>
      </c>
      <c r="B3" s="4" t="s">
        <v>198</v>
      </c>
      <c r="C3" s="4" t="s">
        <v>199</v>
      </c>
      <c r="D3" s="4" t="s">
        <v>200</v>
      </c>
      <c r="E3" s="4" t="s">
        <v>201</v>
      </c>
      <c r="F3" s="4" t="s">
        <v>202</v>
      </c>
      <c r="G3" s="4" t="s">
        <v>203</v>
      </c>
      <c r="H3" s="4" t="s">
        <v>164</v>
      </c>
    </row>
    <row r="4" customFormat="false" ht="15" hidden="false" customHeight="false" outlineLevel="0" collapsed="false">
      <c r="A4" s="32" t="s">
        <v>204</v>
      </c>
      <c r="B4" s="42" t="n">
        <v>2020</v>
      </c>
      <c r="C4" s="10" t="n">
        <v>42000</v>
      </c>
      <c r="D4" s="10" t="n">
        <v>25200</v>
      </c>
      <c r="E4" s="10" t="n">
        <v>16800</v>
      </c>
      <c r="F4" s="10" t="n">
        <v>12000</v>
      </c>
      <c r="G4" s="45" t="s">
        <v>205</v>
      </c>
      <c r="H4" s="34" t="s">
        <v>206</v>
      </c>
    </row>
    <row r="5" customFormat="false" ht="15" hidden="false" customHeight="false" outlineLevel="0" collapsed="false">
      <c r="A5" s="32" t="s">
        <v>207</v>
      </c>
      <c r="B5" s="42" t="n">
        <v>2021</v>
      </c>
      <c r="C5" s="10" t="n">
        <v>42000</v>
      </c>
      <c r="D5" s="10" t="n">
        <v>21000</v>
      </c>
      <c r="E5" s="10" t="n">
        <v>21000</v>
      </c>
      <c r="F5" s="10" t="n">
        <v>18000</v>
      </c>
      <c r="G5" s="45" t="s">
        <v>205</v>
      </c>
      <c r="H5" s="34" t="s">
        <v>208</v>
      </c>
    </row>
    <row r="6" customFormat="false" ht="15" hidden="false" customHeight="false" outlineLevel="0" collapsed="false">
      <c r="A6" s="32" t="s">
        <v>209</v>
      </c>
      <c r="B6" s="42" t="n">
        <v>2022</v>
      </c>
      <c r="C6" s="10" t="n">
        <v>46000</v>
      </c>
      <c r="D6" s="10" t="n">
        <v>18400</v>
      </c>
      <c r="E6" s="10" t="n">
        <v>27600</v>
      </c>
      <c r="F6" s="10" t="n">
        <v>26000</v>
      </c>
      <c r="G6" s="45" t="s">
        <v>205</v>
      </c>
      <c r="H6" s="34" t="s">
        <v>208</v>
      </c>
    </row>
    <row r="7" customFormat="false" ht="15" hidden="false" customHeight="false" outlineLevel="0" collapsed="false">
      <c r="A7" s="32" t="s">
        <v>210</v>
      </c>
      <c r="B7" s="42" t="n">
        <v>2023</v>
      </c>
      <c r="C7" s="10" t="n">
        <v>48000</v>
      </c>
      <c r="D7" s="10" t="n">
        <v>9600</v>
      </c>
      <c r="E7" s="10" t="n">
        <v>38400</v>
      </c>
      <c r="F7" s="10" t="n">
        <v>40000</v>
      </c>
      <c r="G7" s="45" t="s">
        <v>205</v>
      </c>
      <c r="H7" s="34" t="s">
        <v>211</v>
      </c>
    </row>
    <row r="8" customFormat="false" ht="15" hidden="false" customHeight="false" outlineLevel="0" collapsed="false">
      <c r="A8" s="32" t="s">
        <v>212</v>
      </c>
      <c r="B8" s="42" t="n">
        <v>2024</v>
      </c>
      <c r="C8" s="10" t="n">
        <v>46000</v>
      </c>
      <c r="D8" s="10" t="n">
        <v>4600</v>
      </c>
      <c r="E8" s="10" t="n">
        <v>41400</v>
      </c>
      <c r="F8" s="10" t="n">
        <v>44000</v>
      </c>
      <c r="G8" s="45" t="s">
        <v>205</v>
      </c>
      <c r="H8" s="34" t="s">
        <v>213</v>
      </c>
    </row>
    <row r="9" customFormat="false" ht="15" hidden="false" customHeight="false" outlineLevel="0" collapsed="false">
      <c r="A9" s="32" t="s">
        <v>214</v>
      </c>
      <c r="B9" s="42" t="n">
        <v>2020</v>
      </c>
      <c r="C9" s="10" t="n">
        <v>8400</v>
      </c>
      <c r="D9" s="10" t="n">
        <v>6720</v>
      </c>
      <c r="E9" s="10" t="n">
        <v>1680</v>
      </c>
      <c r="F9" s="10" t="n">
        <v>1200</v>
      </c>
      <c r="G9" s="45" t="s">
        <v>205</v>
      </c>
      <c r="H9" s="34" t="s">
        <v>215</v>
      </c>
    </row>
    <row r="10" customFormat="false" ht="15" hidden="false" customHeight="false" outlineLevel="0" collapsed="false">
      <c r="A10" s="32" t="s">
        <v>216</v>
      </c>
      <c r="B10" s="42" t="n">
        <v>2022</v>
      </c>
      <c r="C10" s="10" t="n">
        <v>12000</v>
      </c>
      <c r="D10" s="10" t="n">
        <v>4800</v>
      </c>
      <c r="E10" s="10" t="n">
        <v>7200</v>
      </c>
      <c r="F10" s="10" t="n">
        <v>6500</v>
      </c>
      <c r="G10" s="45" t="s">
        <v>205</v>
      </c>
      <c r="H10" s="34" t="s">
        <v>217</v>
      </c>
    </row>
    <row r="11" customFormat="false" ht="15" hidden="false" customHeight="false" outlineLevel="0" collapsed="false">
      <c r="A11" s="32" t="s">
        <v>218</v>
      </c>
      <c r="B11" s="42" t="n">
        <v>2021</v>
      </c>
      <c r="C11" s="10" t="n">
        <v>18000</v>
      </c>
      <c r="D11" s="10" t="n">
        <v>10800</v>
      </c>
      <c r="E11" s="10" t="n">
        <v>7200</v>
      </c>
      <c r="F11" s="10" t="n">
        <v>8000</v>
      </c>
      <c r="G11" s="45" t="s">
        <v>205</v>
      </c>
      <c r="H11" s="34" t="s">
        <v>217</v>
      </c>
    </row>
    <row r="12" customFormat="false" ht="15" hidden="false" customHeight="false" outlineLevel="0" collapsed="false">
      <c r="A12" s="32" t="s">
        <v>219</v>
      </c>
      <c r="B12" s="42" t="n">
        <v>2023</v>
      </c>
      <c r="C12" s="10" t="n">
        <v>14000</v>
      </c>
      <c r="D12" s="10" t="n">
        <v>2800</v>
      </c>
      <c r="E12" s="10" t="n">
        <v>11200</v>
      </c>
      <c r="F12" s="10" t="n">
        <v>11000</v>
      </c>
      <c r="G12" s="45" t="s">
        <v>205</v>
      </c>
      <c r="H12" s="34" t="s">
        <v>211</v>
      </c>
    </row>
    <row r="13" customFormat="false" ht="15" hidden="false" customHeight="false" outlineLevel="0" collapsed="false">
      <c r="A13" s="32" t="s">
        <v>220</v>
      </c>
      <c r="B13" s="42" t="n">
        <v>2021</v>
      </c>
      <c r="C13" s="10" t="n">
        <v>8200</v>
      </c>
      <c r="D13" s="10" t="n">
        <v>5740</v>
      </c>
      <c r="E13" s="10" t="n">
        <v>2460</v>
      </c>
      <c r="F13" s="10" t="n">
        <v>1800</v>
      </c>
      <c r="G13" s="45" t="s">
        <v>205</v>
      </c>
      <c r="H13" s="34" t="s">
        <v>221</v>
      </c>
    </row>
    <row r="14" customFormat="false" ht="15" hidden="false" customHeight="false" outlineLevel="0" collapsed="false">
      <c r="A14" s="32" t="s">
        <v>222</v>
      </c>
      <c r="B14" s="42" t="n">
        <v>2020</v>
      </c>
      <c r="C14" s="10" t="n">
        <v>6400</v>
      </c>
      <c r="D14" s="10" t="n">
        <v>5120</v>
      </c>
      <c r="E14" s="10" t="n">
        <v>1280</v>
      </c>
      <c r="F14" s="10" t="n">
        <v>800</v>
      </c>
      <c r="G14" s="45" t="s">
        <v>205</v>
      </c>
      <c r="H14" s="34" t="s">
        <v>223</v>
      </c>
    </row>
    <row r="15" customFormat="false" ht="15" hidden="false" customHeight="false" outlineLevel="0" collapsed="false">
      <c r="A15" s="32" t="s">
        <v>224</v>
      </c>
      <c r="B15" s="42" t="n">
        <v>2022</v>
      </c>
      <c r="C15" s="10" t="n">
        <v>4800</v>
      </c>
      <c r="D15" s="10" t="n">
        <v>1920</v>
      </c>
      <c r="E15" s="10" t="n">
        <v>2880</v>
      </c>
      <c r="F15" s="10" t="n">
        <v>1500</v>
      </c>
      <c r="G15" s="45" t="s">
        <v>205</v>
      </c>
      <c r="H15" s="34" t="s">
        <v>225</v>
      </c>
    </row>
    <row r="16" customFormat="false" ht="15" hidden="false" customHeight="false" outlineLevel="0" collapsed="false">
      <c r="A16" s="32" t="s">
        <v>226</v>
      </c>
      <c r="B16" s="42" t="n">
        <v>2020</v>
      </c>
      <c r="C16" s="10" t="n">
        <v>3200</v>
      </c>
      <c r="D16" s="10" t="n">
        <v>2560</v>
      </c>
      <c r="E16" s="10" t="n">
        <v>640</v>
      </c>
      <c r="F16" s="10" t="n">
        <v>400</v>
      </c>
      <c r="G16" s="45" t="s">
        <v>205</v>
      </c>
      <c r="H16" s="34" t="s">
        <v>227</v>
      </c>
    </row>
    <row r="17" customFormat="false" ht="15" hidden="false" customHeight="false" outlineLevel="0" collapsed="false">
      <c r="A17" s="27" t="s">
        <v>228</v>
      </c>
      <c r="B17" s="40" t="n">
        <v>2023</v>
      </c>
      <c r="C17" s="7" t="n">
        <v>58000</v>
      </c>
      <c r="D17" s="7" t="n">
        <v>11600</v>
      </c>
      <c r="E17" s="7" t="n">
        <v>46400</v>
      </c>
      <c r="F17" s="7" t="n">
        <v>50000</v>
      </c>
      <c r="G17" s="40" t="s">
        <v>229</v>
      </c>
      <c r="H17" s="36" t="s">
        <v>230</v>
      </c>
    </row>
    <row r="18" customFormat="false" ht="15" hidden="false" customHeight="false" outlineLevel="0" collapsed="false">
      <c r="A18" s="11" t="s">
        <v>231</v>
      </c>
      <c r="B18" s="43"/>
      <c r="C18" s="12" t="n">
        <f aca="false">SUM(C4:C16)</f>
        <v>299000</v>
      </c>
      <c r="D18" s="12" t="n">
        <f aca="false">SUM(D4:D16)</f>
        <v>119260</v>
      </c>
      <c r="E18" s="12" t="n">
        <f aca="false">SUM(E4:E16)</f>
        <v>179740</v>
      </c>
      <c r="F18" s="12" t="n">
        <f aca="false">SUM(F4:F16)</f>
        <v>171200</v>
      </c>
      <c r="G18" s="43"/>
      <c r="H18" s="43"/>
    </row>
    <row r="20" customFormat="false" ht="36" hidden="false" customHeight="true" outlineLevel="0" collapsed="false">
      <c r="A20" s="15" t="s">
        <v>232</v>
      </c>
      <c r="B20" s="15"/>
      <c r="C20" s="15"/>
      <c r="D20" s="15"/>
      <c r="E20" s="15"/>
      <c r="F20" s="15"/>
      <c r="G20" s="15"/>
      <c r="H20" s="15"/>
    </row>
  </sheetData>
  <mergeCells count="3">
    <mergeCell ref="A1:H1"/>
    <mergeCell ref="A2:H2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2026-03-27T22:53:16Z</dcterms:created>
  <dc:creator>openpyxl</dc:creator>
  <dc:description/>
  <dc:language>en-US</dc:language>
  <cp:lastModifiedBy/>
  <dcterms:modified xsi:type="dcterms:W3CDTF">2026-03-27T22:53:16Z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